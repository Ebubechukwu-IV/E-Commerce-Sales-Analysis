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Documents\Data Analytics Learning\TechCrush Assignments\Assignment\Excel Assignment\"/>
    </mc:Choice>
  </mc:AlternateContent>
  <xr:revisionPtr revIDLastSave="0" documentId="13_ncr:1_{4EE8BA77-530E-4C1E-AE29-8A47897E0F1A}" xr6:coauthVersionLast="47" xr6:coauthVersionMax="47" xr10:uidLastSave="{00000000-0000-0000-0000-000000000000}"/>
  <bookViews>
    <workbookView xWindow="-120" yWindow="-120" windowWidth="24240" windowHeight="13140" xr2:uid="{FB46BD2E-2121-4FA5-90B2-E7B1A2EC2466}"/>
  </bookViews>
  <sheets>
    <sheet name="Sales" sheetId="1" r:id="rId1"/>
    <sheet name="Products" sheetId="2" r:id="rId2"/>
    <sheet name="Customer_info" sheetId="3" r:id="rId3"/>
  </sheets>
  <definedNames>
    <definedName name="_xlcn.WorksheetConnection_Ecommerce_Analytics_Practice_DatasetAssignment.xlsxCustomer_Table" hidden="1">Customer_Table[]</definedName>
    <definedName name="_xlcn.WorksheetConnection_Ecommerce_Analytics_Practice_DatasetAssignment.xlsxProducts_Table" hidden="1">Products_Table[]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_Table" name="Products_Table" connection="WorksheetConnection_Ecommerce_Analytics_Practice_Dataset - Assignment.xlsx!Products_Table"/>
          <x15:modelTable id="Customer_Table" name="Customer_Table" connection="WorksheetConnection_Ecommerce_Analytics_Practice_Dataset - Assignment.xlsx!Customer_Tabl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1" l="1"/>
  <c r="N19" i="1"/>
  <c r="N18" i="1"/>
  <c r="N17" i="1"/>
  <c r="N16" i="1"/>
  <c r="A362" i="1"/>
  <c r="F362" i="1"/>
  <c r="E36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H2" i="1"/>
  <c r="J4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G2" i="1"/>
  <c r="N8" i="1" s="1"/>
  <c r="G3" i="1"/>
  <c r="N9" i="1" s="1"/>
  <c r="G4" i="1"/>
  <c r="G5" i="1"/>
  <c r="G6" i="1"/>
  <c r="G7" i="1"/>
  <c r="G8" i="1"/>
  <c r="G9" i="1"/>
  <c r="N11" i="1" s="1"/>
  <c r="G10" i="1"/>
  <c r="G11" i="1"/>
  <c r="N10" i="1" s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N12" i="1" s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J2" i="1" l="1"/>
  <c r="J361" i="1"/>
  <c r="J357" i="1"/>
  <c r="J353" i="1"/>
  <c r="J349" i="1"/>
  <c r="J345" i="1"/>
  <c r="J341" i="1"/>
  <c r="J333" i="1"/>
  <c r="J325" i="1"/>
  <c r="J317" i="1"/>
  <c r="J309" i="1"/>
  <c r="J301" i="1"/>
  <c r="J293" i="1"/>
  <c r="J285" i="1"/>
  <c r="J277" i="1"/>
  <c r="J269" i="1"/>
  <c r="J261" i="1"/>
  <c r="J253" i="1"/>
  <c r="J245" i="1"/>
  <c r="J237" i="1"/>
  <c r="J229" i="1"/>
  <c r="J221" i="1"/>
  <c r="J213" i="1"/>
  <c r="J205" i="1"/>
  <c r="J197" i="1"/>
  <c r="J189" i="1"/>
  <c r="J181" i="1"/>
  <c r="J173" i="1"/>
  <c r="J165" i="1"/>
  <c r="J157" i="1"/>
  <c r="J149" i="1"/>
  <c r="J141" i="1"/>
  <c r="J133" i="1"/>
  <c r="J125" i="1"/>
  <c r="J117" i="1"/>
  <c r="J109" i="1"/>
  <c r="J101" i="1"/>
  <c r="J93" i="1"/>
  <c r="J85" i="1"/>
  <c r="J77" i="1"/>
  <c r="J69" i="1"/>
  <c r="J61" i="1"/>
  <c r="J53" i="1"/>
  <c r="J45" i="1"/>
  <c r="J37" i="1"/>
  <c r="J29" i="1"/>
  <c r="J21" i="1"/>
  <c r="J13" i="1"/>
  <c r="J5" i="1"/>
  <c r="J360" i="1"/>
  <c r="J356" i="1"/>
  <c r="J352" i="1"/>
  <c r="J348" i="1"/>
  <c r="J344" i="1"/>
  <c r="J340" i="1"/>
  <c r="J332" i="1"/>
  <c r="J324" i="1"/>
  <c r="J316" i="1"/>
  <c r="J308" i="1"/>
  <c r="J300" i="1"/>
  <c r="J292" i="1"/>
  <c r="J284" i="1"/>
  <c r="J276" i="1"/>
  <c r="J268" i="1"/>
  <c r="J260" i="1"/>
  <c r="J252" i="1"/>
  <c r="J244" i="1"/>
  <c r="J236" i="1"/>
  <c r="J228" i="1"/>
  <c r="J220" i="1"/>
  <c r="J212" i="1"/>
  <c r="J204" i="1"/>
  <c r="J196" i="1"/>
  <c r="J188" i="1"/>
  <c r="J180" i="1"/>
  <c r="J172" i="1"/>
  <c r="J164" i="1"/>
  <c r="J156" i="1"/>
  <c r="J148" i="1"/>
  <c r="J140" i="1"/>
  <c r="J132" i="1"/>
  <c r="J124" i="1"/>
  <c r="J116" i="1"/>
  <c r="J108" i="1"/>
  <c r="J100" i="1"/>
  <c r="J92" i="1"/>
  <c r="J84" i="1"/>
  <c r="J76" i="1"/>
  <c r="J68" i="1"/>
  <c r="J60" i="1"/>
  <c r="J52" i="1"/>
  <c r="J44" i="1"/>
  <c r="J36" i="1"/>
  <c r="J28" i="1"/>
  <c r="J20" i="1"/>
  <c r="J12" i="1"/>
  <c r="J6" i="1"/>
  <c r="J10" i="1"/>
  <c r="J14" i="1"/>
  <c r="J18" i="1"/>
  <c r="J22" i="1"/>
  <c r="J26" i="1"/>
  <c r="J30" i="1"/>
  <c r="J34" i="1"/>
  <c r="J38" i="1"/>
  <c r="J42" i="1"/>
  <c r="J46" i="1"/>
  <c r="J50" i="1"/>
  <c r="J54" i="1"/>
  <c r="J58" i="1"/>
  <c r="J62" i="1"/>
  <c r="J66" i="1"/>
  <c r="J70" i="1"/>
  <c r="J74" i="1"/>
  <c r="J78" i="1"/>
  <c r="J82" i="1"/>
  <c r="J86" i="1"/>
  <c r="J90" i="1"/>
  <c r="J94" i="1"/>
  <c r="J98" i="1"/>
  <c r="J102" i="1"/>
  <c r="J106" i="1"/>
  <c r="J110" i="1"/>
  <c r="J114" i="1"/>
  <c r="J118" i="1"/>
  <c r="J122" i="1"/>
  <c r="J126" i="1"/>
  <c r="J130" i="1"/>
  <c r="J134" i="1"/>
  <c r="J138" i="1"/>
  <c r="J142" i="1"/>
  <c r="J146" i="1"/>
  <c r="J150" i="1"/>
  <c r="J154" i="1"/>
  <c r="J158" i="1"/>
  <c r="J162" i="1"/>
  <c r="J166" i="1"/>
  <c r="J170" i="1"/>
  <c r="J174" i="1"/>
  <c r="J178" i="1"/>
  <c r="J182" i="1"/>
  <c r="J186" i="1"/>
  <c r="J190" i="1"/>
  <c r="J194" i="1"/>
  <c r="J198" i="1"/>
  <c r="J202" i="1"/>
  <c r="J206" i="1"/>
  <c r="J210" i="1"/>
  <c r="J214" i="1"/>
  <c r="J218" i="1"/>
  <c r="J222" i="1"/>
  <c r="J226" i="1"/>
  <c r="J230" i="1"/>
  <c r="J234" i="1"/>
  <c r="J238" i="1"/>
  <c r="J242" i="1"/>
  <c r="J246" i="1"/>
  <c r="J250" i="1"/>
  <c r="J254" i="1"/>
  <c r="J258" i="1"/>
  <c r="J262" i="1"/>
  <c r="J266" i="1"/>
  <c r="J270" i="1"/>
  <c r="J274" i="1"/>
  <c r="J278" i="1"/>
  <c r="J282" i="1"/>
  <c r="J286" i="1"/>
  <c r="J290" i="1"/>
  <c r="J294" i="1"/>
  <c r="J298" i="1"/>
  <c r="J302" i="1"/>
  <c r="J306" i="1"/>
  <c r="J310" i="1"/>
  <c r="J314" i="1"/>
  <c r="J318" i="1"/>
  <c r="J322" i="1"/>
  <c r="J326" i="1"/>
  <c r="J330" i="1"/>
  <c r="J334" i="1"/>
  <c r="J338" i="1"/>
  <c r="J3" i="1"/>
  <c r="J7" i="1"/>
  <c r="J11" i="1"/>
  <c r="J15" i="1"/>
  <c r="J19" i="1"/>
  <c r="J23" i="1"/>
  <c r="J27" i="1"/>
  <c r="J31" i="1"/>
  <c r="J35" i="1"/>
  <c r="J39" i="1"/>
  <c r="J43" i="1"/>
  <c r="J47" i="1"/>
  <c r="J51" i="1"/>
  <c r="J55" i="1"/>
  <c r="J59" i="1"/>
  <c r="J63" i="1"/>
  <c r="J67" i="1"/>
  <c r="J71" i="1"/>
  <c r="J75" i="1"/>
  <c r="J79" i="1"/>
  <c r="J83" i="1"/>
  <c r="J87" i="1"/>
  <c r="J91" i="1"/>
  <c r="J95" i="1"/>
  <c r="J99" i="1"/>
  <c r="J103" i="1"/>
  <c r="J107" i="1"/>
  <c r="J111" i="1"/>
  <c r="J115" i="1"/>
  <c r="J119" i="1"/>
  <c r="J123" i="1"/>
  <c r="J127" i="1"/>
  <c r="J131" i="1"/>
  <c r="J135" i="1"/>
  <c r="J139" i="1"/>
  <c r="J143" i="1"/>
  <c r="J147" i="1"/>
  <c r="J151" i="1"/>
  <c r="J155" i="1"/>
  <c r="J159" i="1"/>
  <c r="J163" i="1"/>
  <c r="J167" i="1"/>
  <c r="J171" i="1"/>
  <c r="J175" i="1"/>
  <c r="J179" i="1"/>
  <c r="J183" i="1"/>
  <c r="J187" i="1"/>
  <c r="J191" i="1"/>
  <c r="J195" i="1"/>
  <c r="J199" i="1"/>
  <c r="J203" i="1"/>
  <c r="J207" i="1"/>
  <c r="J211" i="1"/>
  <c r="J215" i="1"/>
  <c r="J219" i="1"/>
  <c r="J223" i="1"/>
  <c r="J227" i="1"/>
  <c r="J231" i="1"/>
  <c r="J235" i="1"/>
  <c r="J239" i="1"/>
  <c r="J243" i="1"/>
  <c r="J247" i="1"/>
  <c r="J251" i="1"/>
  <c r="J255" i="1"/>
  <c r="J259" i="1"/>
  <c r="J263" i="1"/>
  <c r="J267" i="1"/>
  <c r="J271" i="1"/>
  <c r="J275" i="1"/>
  <c r="J279" i="1"/>
  <c r="J283" i="1"/>
  <c r="J287" i="1"/>
  <c r="J291" i="1"/>
  <c r="J295" i="1"/>
  <c r="J299" i="1"/>
  <c r="J303" i="1"/>
  <c r="J307" i="1"/>
  <c r="J311" i="1"/>
  <c r="J315" i="1"/>
  <c r="J319" i="1"/>
  <c r="J323" i="1"/>
  <c r="J327" i="1"/>
  <c r="J331" i="1"/>
  <c r="J335" i="1"/>
  <c r="J339" i="1"/>
  <c r="J359" i="1"/>
  <c r="J355" i="1"/>
  <c r="J351" i="1"/>
  <c r="J347" i="1"/>
  <c r="J343" i="1"/>
  <c r="J337" i="1"/>
  <c r="J329" i="1"/>
  <c r="J321" i="1"/>
  <c r="J313" i="1"/>
  <c r="J305" i="1"/>
  <c r="J297" i="1"/>
  <c r="J289" i="1"/>
  <c r="J281" i="1"/>
  <c r="J273" i="1"/>
  <c r="J265" i="1"/>
  <c r="J257" i="1"/>
  <c r="J249" i="1"/>
  <c r="J241" i="1"/>
  <c r="J233" i="1"/>
  <c r="J225" i="1"/>
  <c r="J217" i="1"/>
  <c r="J209" i="1"/>
  <c r="J201" i="1"/>
  <c r="J193" i="1"/>
  <c r="J185" i="1"/>
  <c r="J177" i="1"/>
  <c r="J169" i="1"/>
  <c r="J161" i="1"/>
  <c r="J153" i="1"/>
  <c r="J145" i="1"/>
  <c r="J137" i="1"/>
  <c r="J129" i="1"/>
  <c r="J121" i="1"/>
  <c r="J113" i="1"/>
  <c r="J105" i="1"/>
  <c r="J97" i="1"/>
  <c r="J89" i="1"/>
  <c r="J81" i="1"/>
  <c r="J73" i="1"/>
  <c r="J65" i="1"/>
  <c r="J57" i="1"/>
  <c r="J49" i="1"/>
  <c r="J41" i="1"/>
  <c r="J33" i="1"/>
  <c r="J25" i="1"/>
  <c r="J17" i="1"/>
  <c r="J9" i="1"/>
  <c r="J358" i="1"/>
  <c r="J354" i="1"/>
  <c r="J350" i="1"/>
  <c r="J346" i="1"/>
  <c r="J342" i="1"/>
  <c r="J336" i="1"/>
  <c r="J328" i="1"/>
  <c r="J320" i="1"/>
  <c r="J312" i="1"/>
  <c r="J304" i="1"/>
  <c r="J296" i="1"/>
  <c r="J288" i="1"/>
  <c r="J280" i="1"/>
  <c r="J272" i="1"/>
  <c r="J264" i="1"/>
  <c r="J256" i="1"/>
  <c r="J248" i="1"/>
  <c r="J240" i="1"/>
  <c r="J232" i="1"/>
  <c r="J224" i="1"/>
  <c r="J216" i="1"/>
  <c r="J208" i="1"/>
  <c r="J200" i="1"/>
  <c r="J192" i="1"/>
  <c r="J184" i="1"/>
  <c r="J176" i="1"/>
  <c r="J168" i="1"/>
  <c r="J160" i="1"/>
  <c r="J152" i="1"/>
  <c r="J144" i="1"/>
  <c r="J136" i="1"/>
  <c r="J128" i="1"/>
  <c r="J120" i="1"/>
  <c r="J112" i="1"/>
  <c r="J104" i="1"/>
  <c r="J96" i="1"/>
  <c r="J88" i="1"/>
  <c r="J80" i="1"/>
  <c r="J72" i="1"/>
  <c r="J64" i="1"/>
  <c r="J56" i="1"/>
  <c r="J48" i="1"/>
  <c r="J40" i="1"/>
  <c r="J32" i="1"/>
  <c r="J24" i="1"/>
  <c r="J16" i="1"/>
  <c r="J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F891E5-FE21-459F-805F-A83B7CD382A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589B9A9-0C5C-4FE4-AFE5-E2DA384BB9CB}" name="WorksheetConnection_Ecommerce_Analytics_Practice_Dataset - Assignment.xlsx!Customer_Table" type="102" refreshedVersion="8" minRefreshableVersion="5">
    <extLst>
      <ext xmlns:x15="http://schemas.microsoft.com/office/spreadsheetml/2010/11/main" uri="{DE250136-89BD-433C-8126-D09CA5730AF9}">
        <x15:connection id="Customer_Table">
          <x15:rangePr sourceName="_xlcn.WorksheetConnection_Ecommerce_Analytics_Practice_DatasetAssignment.xlsxCustomer_Table"/>
        </x15:connection>
      </ext>
    </extLst>
  </connection>
  <connection id="3" xr16:uid="{117EEF13-DFD3-45CE-A41A-E153AA36EFF3}" name="WorksheetConnection_Ecommerce_Analytics_Practice_Dataset - Assignment.xlsx!Products_Table" type="102" refreshedVersion="8" minRefreshableVersion="5">
    <extLst>
      <ext xmlns:x15="http://schemas.microsoft.com/office/spreadsheetml/2010/11/main" uri="{DE250136-89BD-433C-8126-D09CA5730AF9}">
        <x15:connection id="Products_Table">
          <x15:rangePr sourceName="_xlcn.WorksheetConnection_Ecommerce_Analytics_Practice_DatasetAssignment.xlsxProducts_Table"/>
        </x15:connection>
      </ext>
    </extLst>
  </connection>
</connections>
</file>

<file path=xl/sharedStrings.xml><?xml version="1.0" encoding="utf-8"?>
<sst xmlns="http://schemas.openxmlformats.org/spreadsheetml/2006/main" count="1717" uniqueCount="832">
  <si>
    <t>OrderID</t>
  </si>
  <si>
    <t>OrderDate</t>
  </si>
  <si>
    <t>CustomerID</t>
  </si>
  <si>
    <t>ProductID</t>
  </si>
  <si>
    <t>Quantity</t>
  </si>
  <si>
    <t>SalesAmount</t>
  </si>
  <si>
    <t>ORD0001</t>
  </si>
  <si>
    <t>CUST115</t>
  </si>
  <si>
    <t>PROD020</t>
  </si>
  <si>
    <t>ORD0002</t>
  </si>
  <si>
    <t>CUST077</t>
  </si>
  <si>
    <t>PROD032</t>
  </si>
  <si>
    <t>ORD0003</t>
  </si>
  <si>
    <t>CUST091</t>
  </si>
  <si>
    <t>PROD017</t>
  </si>
  <si>
    <t>ORD0004</t>
  </si>
  <si>
    <t>CUST097</t>
  </si>
  <si>
    <t>PROD006</t>
  </si>
  <si>
    <t>ORD0005</t>
  </si>
  <si>
    <t>CUST018</t>
  </si>
  <si>
    <t>PROD039</t>
  </si>
  <si>
    <t>ORD0006</t>
  </si>
  <si>
    <t>CUST038</t>
  </si>
  <si>
    <t>PROD007</t>
  </si>
  <si>
    <t>ORD0007</t>
  </si>
  <si>
    <t>CUST060</t>
  </si>
  <si>
    <t>PROD027</t>
  </si>
  <si>
    <t>ORD0008</t>
  </si>
  <si>
    <t>PROD024</t>
  </si>
  <si>
    <t>ORD0009</t>
  </si>
  <si>
    <t>CUST006</t>
  </si>
  <si>
    <t>ORD0010</t>
  </si>
  <si>
    <t>CUST021</t>
  </si>
  <si>
    <t>ORD0011</t>
  </si>
  <si>
    <t>CUST041</t>
  </si>
  <si>
    <t>PROD005</t>
  </si>
  <si>
    <t>ORD0012</t>
  </si>
  <si>
    <t>CUST110</t>
  </si>
  <si>
    <t>PROD028</t>
  </si>
  <si>
    <t>ORD0013</t>
  </si>
  <si>
    <t>CUST025</t>
  </si>
  <si>
    <t>PROD033</t>
  </si>
  <si>
    <t>ORD0014</t>
  </si>
  <si>
    <t>CUST053</t>
  </si>
  <si>
    <t>PROD015</t>
  </si>
  <si>
    <t>ORD0015</t>
  </si>
  <si>
    <t>CUST043</t>
  </si>
  <si>
    <t>ORD0016</t>
  </si>
  <si>
    <t>CUST049</t>
  </si>
  <si>
    <t>PROD031</t>
  </si>
  <si>
    <t>ORD0017</t>
  </si>
  <si>
    <t>CUST080</t>
  </si>
  <si>
    <t>PROD029</t>
  </si>
  <si>
    <t>ORD0018</t>
  </si>
  <si>
    <t>CUST071</t>
  </si>
  <si>
    <t>PROD040</t>
  </si>
  <si>
    <t>ORD0019</t>
  </si>
  <si>
    <t>CUST083</t>
  </si>
  <si>
    <t>ORD0020</t>
  </si>
  <si>
    <t>ORD0021</t>
  </si>
  <si>
    <t>PROD022</t>
  </si>
  <si>
    <t>ORD0022</t>
  </si>
  <si>
    <t>CUST102</t>
  </si>
  <si>
    <t>PROD019</t>
  </si>
  <si>
    <t>ORD0023</t>
  </si>
  <si>
    <t>CUST061</t>
  </si>
  <si>
    <t>ORD0024</t>
  </si>
  <si>
    <t>CUST104</t>
  </si>
  <si>
    <t>PROD013</t>
  </si>
  <si>
    <t>ORD0025</t>
  </si>
  <si>
    <t>CUST027</t>
  </si>
  <si>
    <t>ORD0026</t>
  </si>
  <si>
    <t>PROD016</t>
  </si>
  <si>
    <t>ORD0027</t>
  </si>
  <si>
    <t>CUST001</t>
  </si>
  <si>
    <t>ORD0028</t>
  </si>
  <si>
    <t>CUST056</t>
  </si>
  <si>
    <t>ORD0029</t>
  </si>
  <si>
    <t>CUST034</t>
  </si>
  <si>
    <t>ORD0030</t>
  </si>
  <si>
    <t>CUST098</t>
  </si>
  <si>
    <t>PROD010</t>
  </si>
  <si>
    <t>ORD0031</t>
  </si>
  <si>
    <t>CUST082</t>
  </si>
  <si>
    <t>ORD0032</t>
  </si>
  <si>
    <t>CUST089</t>
  </si>
  <si>
    <t>ORD0033</t>
  </si>
  <si>
    <t>CUST031</t>
  </si>
  <si>
    <t>ORD0034</t>
  </si>
  <si>
    <t>CUST002</t>
  </si>
  <si>
    <t>ORD0035</t>
  </si>
  <si>
    <t>CUST092</t>
  </si>
  <si>
    <t>ORD0036</t>
  </si>
  <si>
    <t>CUST073</t>
  </si>
  <si>
    <t>ORD0037</t>
  </si>
  <si>
    <t>CUST099</t>
  </si>
  <si>
    <t>ORD0038</t>
  </si>
  <si>
    <t>CUST014</t>
  </si>
  <si>
    <t>PROD014</t>
  </si>
  <si>
    <t>ORD0039</t>
  </si>
  <si>
    <t>ORD0040</t>
  </si>
  <si>
    <t>CUST081</t>
  </si>
  <si>
    <t>ORD0041</t>
  </si>
  <si>
    <t>PROD026</t>
  </si>
  <si>
    <t>ORD0042</t>
  </si>
  <si>
    <t>CUST100</t>
  </si>
  <si>
    <t>ORD0043</t>
  </si>
  <si>
    <t>CUST086</t>
  </si>
  <si>
    <t>PROD036</t>
  </si>
  <si>
    <t>ORD0044</t>
  </si>
  <si>
    <t>ORD0045</t>
  </si>
  <si>
    <t>CUST059</t>
  </si>
  <si>
    <t>ORD0046</t>
  </si>
  <si>
    <t>CUST050</t>
  </si>
  <si>
    <t>PROD018</t>
  </si>
  <si>
    <t>ORD0047</t>
  </si>
  <si>
    <t>CUST116</t>
  </si>
  <si>
    <t>ORD0048</t>
  </si>
  <si>
    <t>ORD0049</t>
  </si>
  <si>
    <t>ORD0050</t>
  </si>
  <si>
    <t>CUST096</t>
  </si>
  <si>
    <t>ORD0051</t>
  </si>
  <si>
    <t>PROD035</t>
  </si>
  <si>
    <t>ORD0052</t>
  </si>
  <si>
    <t>PROD012</t>
  </si>
  <si>
    <t>ORD0053</t>
  </si>
  <si>
    <t>CUST042</t>
  </si>
  <si>
    <t>ORD0054</t>
  </si>
  <si>
    <t>CUST085</t>
  </si>
  <si>
    <t>PROD030</t>
  </si>
  <si>
    <t>ORD0055</t>
  </si>
  <si>
    <t>CUST084</t>
  </si>
  <si>
    <t>PROD003</t>
  </si>
  <si>
    <t>ORD0056</t>
  </si>
  <si>
    <t>ORD0057</t>
  </si>
  <si>
    <t>CUST005</t>
  </si>
  <si>
    <t>PROD001</t>
  </si>
  <si>
    <t>ORD0058</t>
  </si>
  <si>
    <t>ORD0059</t>
  </si>
  <si>
    <t>CUST030</t>
  </si>
  <si>
    <t>ORD0060</t>
  </si>
  <si>
    <t>CUST101</t>
  </si>
  <si>
    <t>ORD0061</t>
  </si>
  <si>
    <t>CUST075</t>
  </si>
  <si>
    <t>ORD0062</t>
  </si>
  <si>
    <t>CUST066</t>
  </si>
  <si>
    <t>PROD008</t>
  </si>
  <si>
    <t>ORD0063</t>
  </si>
  <si>
    <t>PROD011</t>
  </si>
  <si>
    <t>ORD0064</t>
  </si>
  <si>
    <t>CUST012</t>
  </si>
  <si>
    <t>ORD0065</t>
  </si>
  <si>
    <t>PROD038</t>
  </si>
  <si>
    <t>ORD0066</t>
  </si>
  <si>
    <t>ORD0067</t>
  </si>
  <si>
    <t>ORD0068</t>
  </si>
  <si>
    <t>ORD0069</t>
  </si>
  <si>
    <t>ORD0070</t>
  </si>
  <si>
    <t>ORD0071</t>
  </si>
  <si>
    <t>CUST079</t>
  </si>
  <si>
    <t>PROD037</t>
  </si>
  <si>
    <t>ORD0072</t>
  </si>
  <si>
    <t>ORD0073</t>
  </si>
  <si>
    <t>ORD0074</t>
  </si>
  <si>
    <t>ORD0075</t>
  </si>
  <si>
    <t>PROD002</t>
  </si>
  <si>
    <t>ORD0076</t>
  </si>
  <si>
    <t>CUST113</t>
  </si>
  <si>
    <t>ORD0077</t>
  </si>
  <si>
    <t>ORD0078</t>
  </si>
  <si>
    <t>CUST003</t>
  </si>
  <si>
    <t>ORD0079</t>
  </si>
  <si>
    <t>CUST111</t>
  </si>
  <si>
    <t>ORD0080</t>
  </si>
  <si>
    <t>CUST062</t>
  </si>
  <si>
    <t>ORD0081</t>
  </si>
  <si>
    <t>CUST035</t>
  </si>
  <si>
    <t>ORD0082</t>
  </si>
  <si>
    <t>PROD009</t>
  </si>
  <si>
    <t>ORD0083</t>
  </si>
  <si>
    <t>CUST107</t>
  </si>
  <si>
    <t>ORD0084</t>
  </si>
  <si>
    <t>CUST088</t>
  </si>
  <si>
    <t>ORD0085</t>
  </si>
  <si>
    <t>ORD0086</t>
  </si>
  <si>
    <t>CUST087</t>
  </si>
  <si>
    <t>ORD0087</t>
  </si>
  <si>
    <t>ORD0088</t>
  </si>
  <si>
    <t>CUST094</t>
  </si>
  <si>
    <t>ORD0089</t>
  </si>
  <si>
    <t>ORD0090</t>
  </si>
  <si>
    <t>ORD0091</t>
  </si>
  <si>
    <t>ORD0092</t>
  </si>
  <si>
    <t>ORD0093</t>
  </si>
  <si>
    <t>ORD0094</t>
  </si>
  <si>
    <t>CUST032</t>
  </si>
  <si>
    <t>PROD023</t>
  </si>
  <si>
    <t>ORD0095</t>
  </si>
  <si>
    <t>CUST069</t>
  </si>
  <si>
    <t>ORD0096</t>
  </si>
  <si>
    <t>ORD0097</t>
  </si>
  <si>
    <t>ORD0098</t>
  </si>
  <si>
    <t>CUST048</t>
  </si>
  <si>
    <t>ORD0099</t>
  </si>
  <si>
    <t>ORD0100</t>
  </si>
  <si>
    <t>ORD0101</t>
  </si>
  <si>
    <t>CUST010</t>
  </si>
  <si>
    <t>ORD0102</t>
  </si>
  <si>
    <t>ORD0103</t>
  </si>
  <si>
    <t>CUST063</t>
  </si>
  <si>
    <t>ORD0104</t>
  </si>
  <si>
    <t>CUST036</t>
  </si>
  <si>
    <t>ORD0105</t>
  </si>
  <si>
    <t>ORD0106</t>
  </si>
  <si>
    <t>CUST046</t>
  </si>
  <si>
    <t>ORD0107</t>
  </si>
  <si>
    <t>ORD0108</t>
  </si>
  <si>
    <t>ORD0109</t>
  </si>
  <si>
    <t>CUST064</t>
  </si>
  <si>
    <t>ORD0110</t>
  </si>
  <si>
    <t>ORD0111</t>
  </si>
  <si>
    <t>ORD0112</t>
  </si>
  <si>
    <t>CUST106</t>
  </si>
  <si>
    <t>ORD0113</t>
  </si>
  <si>
    <t>ORD0114</t>
  </si>
  <si>
    <t>PROD021</t>
  </si>
  <si>
    <t>ORD0115</t>
  </si>
  <si>
    <t>ORD0116</t>
  </si>
  <si>
    <t>ORD0117</t>
  </si>
  <si>
    <t>CUST009</t>
  </si>
  <si>
    <t>ORD0118</t>
  </si>
  <si>
    <t>PROD034</t>
  </si>
  <si>
    <t>ORD0119</t>
  </si>
  <si>
    <t>CUST119</t>
  </si>
  <si>
    <t>ORD0120</t>
  </si>
  <si>
    <t>CUST047</t>
  </si>
  <si>
    <t>ORD0121</t>
  </si>
  <si>
    <t>ORD0122</t>
  </si>
  <si>
    <t>CUST105</t>
  </si>
  <si>
    <t>ORD0123</t>
  </si>
  <si>
    <t>ORD0124</t>
  </si>
  <si>
    <t>CUST015</t>
  </si>
  <si>
    <t>ORD0125</t>
  </si>
  <si>
    <t>CUST029</t>
  </si>
  <si>
    <t>ORD0126</t>
  </si>
  <si>
    <t>CUST008</t>
  </si>
  <si>
    <t>ORD0127</t>
  </si>
  <si>
    <t>CUST114</t>
  </si>
  <si>
    <t>ORD0128</t>
  </si>
  <si>
    <t>CUST026</t>
  </si>
  <si>
    <t>ORD0129</t>
  </si>
  <si>
    <t>ORD0130</t>
  </si>
  <si>
    <t>ORD0131</t>
  </si>
  <si>
    <t>ORD0132</t>
  </si>
  <si>
    <t>ORD0133</t>
  </si>
  <si>
    <t>CUST058</t>
  </si>
  <si>
    <t>ORD0134</t>
  </si>
  <si>
    <t>ORD0135</t>
  </si>
  <si>
    <t>CUST045</t>
  </si>
  <si>
    <t>ORD0136</t>
  </si>
  <si>
    <t>PROD025</t>
  </si>
  <si>
    <t>ORD0137</t>
  </si>
  <si>
    <t>ORD0138</t>
  </si>
  <si>
    <t>ORD0139</t>
  </si>
  <si>
    <t>CUST067</t>
  </si>
  <si>
    <t>ORD0140</t>
  </si>
  <si>
    <t>ORD0141</t>
  </si>
  <si>
    <t>ORD0142</t>
  </si>
  <si>
    <t>ORD0143</t>
  </si>
  <si>
    <t>CUST020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</si>
  <si>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</si>
  <si>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</si>
  <si>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</si>
  <si>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</si>
  <si>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</si>
  <si>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</si>
  <si>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</si>
  <si>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</si>
  <si>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CUST076</t>
  </si>
  <si>
    <t>ORD0152</t>
  </si>
  <si>
    <t>CUST011</t>
  </si>
  <si>
    <t>ORD0153</t>
  </si>
  <si>
    <t>ORD0154</t>
  </si>
  <si>
    <t>CUST019</t>
  </si>
  <si>
    <t>ORD0155</t>
  </si>
  <si>
    <t>ORD0156</t>
  </si>
  <si>
    <t>ORD0157</t>
  </si>
  <si>
    <t>ORD0158</t>
  </si>
  <si>
    <t>ORD0159</t>
  </si>
  <si>
    <t>CUST072</t>
  </si>
  <si>
    <t>ORD0160</t>
  </si>
  <si>
    <t>ORD0161</t>
  </si>
  <si>
    <t>ORD0162</t>
  </si>
  <si>
    <t>ORD0163</t>
  </si>
  <si>
    <t>ORD0164</t>
  </si>
  <si>
    <t>CUST016</t>
  </si>
  <si>
    <t>ORD0165</t>
  </si>
  <si>
    <t>CUST112</t>
  </si>
  <si>
    <t>ORD0166</t>
  </si>
  <si>
    <t>CUST120</t>
  </si>
  <si>
    <t>ORD0167</t>
  </si>
  <si>
    <t>ORD0168</t>
  </si>
  <si>
    <t>CUST103</t>
  </si>
  <si>
    <t>ORD0169</t>
  </si>
  <si>
    <t>PROD004</t>
  </si>
  <si>
    <t>ORD0170</t>
  </si>
  <si>
    <t>ORD0171</t>
  </si>
  <si>
    <t>CUST074</t>
  </si>
  <si>
    <t>ORD0172</t>
  </si>
  <si>
    <t>ORD0173</t>
  </si>
  <si>
    <t>CUST023</t>
  </si>
  <si>
    <t>ORD0174</t>
  </si>
  <si>
    <t>CUST051</t>
  </si>
  <si>
    <t>ORD0175</t>
  </si>
  <si>
    <t>ORD0176</t>
  </si>
  <si>
    <t>CUST093</t>
  </si>
  <si>
    <t>ORD0177</t>
  </si>
  <si>
    <t>ORD0178</t>
  </si>
  <si>
    <t>CUST118</t>
  </si>
  <si>
    <t>ORD0179</t>
  </si>
  <si>
    <t>ORD0180</t>
  </si>
  <si>
    <t>ORD0181</t>
  </si>
  <si>
    <t>ORD0182</t>
  </si>
  <si>
    <t>CUST022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</si>
  <si>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</si>
  <si>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</si>
  <si>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</si>
  <si>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</si>
  <si>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</si>
  <si>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</si>
  <si>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</si>
  <si>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</si>
  <si>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</si>
  <si>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</si>
  <si>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CUST068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</si>
  <si>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</si>
  <si>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</si>
  <si>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</si>
  <si>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</si>
  <si>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</si>
  <si>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</si>
  <si>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</si>
  <si>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</si>
  <si>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</si>
  <si>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</si>
  <si>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</si>
  <si>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CUST024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</si>
  <si>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</si>
  <si>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</si>
  <si>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</si>
  <si>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</si>
  <si>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</si>
  <si>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</si>
  <si>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</si>
  <si>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</si>
  <si>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</si>
  <si>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</si>
  <si>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</si>
  <si>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CUST040</t>
  </si>
  <si>
    <t>ORD0215</t>
  </si>
  <si>
    <t>ORD0216</t>
  </si>
  <si>
    <t>ORD0217</t>
  </si>
  <si>
    <t>ORD0218</t>
  </si>
  <si>
    <t>CUST078</t>
  </si>
  <si>
    <t>ORD0219</t>
  </si>
  <si>
    <t>ORD0220</t>
  </si>
  <si>
    <t>ORD0221</t>
  </si>
  <si>
    <t>CUST044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</si>
  <si>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</si>
  <si>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</si>
  <si>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</si>
  <si>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</si>
  <si>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</si>
  <si>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</si>
  <si>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</si>
  <si>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</si>
  <si>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</si>
  <si>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CUST039</t>
  </si>
  <si>
    <t>ORD0231</t>
  </si>
  <si>
    <t>ORD0232</t>
  </si>
  <si>
    <t>ORD0233</t>
  </si>
  <si>
    <t>ORD0234</t>
  </si>
  <si>
    <t>ORD0235</t>
  </si>
  <si>
    <t>ORD0236</t>
  </si>
  <si>
    <t>CUST070</t>
  </si>
  <si>
    <t>ORD0237</t>
  </si>
  <si>
    <t>ORD0238</t>
  </si>
  <si>
    <t>ORD0239</t>
  </si>
  <si>
    <t>CUST109</t>
  </si>
  <si>
    <t>ORD0240</t>
  </si>
  <si>
    <t>ORD0241</t>
  </si>
  <si>
    <t>CUST117</t>
  </si>
  <si>
    <t>ORD0242</t>
  </si>
  <si>
    <t>ORD0243</t>
  </si>
  <si>
    <t>ORD0244</t>
  </si>
  <si>
    <t>ORD0245</t>
  </si>
  <si>
    <t>CUST095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</si>
  <si>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</si>
  <si>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</si>
  <si>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</si>
  <si>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</si>
  <si>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</si>
  <si>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</si>
  <si>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</si>
  <si>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</si>
  <si>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</si>
  <si>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</si>
  <si>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</si>
  <si>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</si>
  <si>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</si>
  <si>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CUST004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</si>
  <si>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</si>
  <si>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</si>
  <si>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</si>
  <si>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</si>
  <si>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</si>
  <si>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</si>
  <si>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</si>
  <si>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</si>
  <si>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</si>
  <si>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</si>
  <si>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</si>
  <si>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CUST033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</si>
  <si>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</si>
  <si>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</si>
  <si>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</si>
  <si>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</si>
  <si>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</si>
  <si>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</si>
  <si>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</si>
  <si>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</si>
  <si>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CUST054</t>
  </si>
  <si>
    <t>ORD0278</t>
  </si>
  <si>
    <t>ORD0279</t>
  </si>
  <si>
    <t>ORD0280</t>
  </si>
  <si>
    <t>ORD0281</t>
  </si>
  <si>
    <t>CUST108</t>
  </si>
  <si>
    <t>ORD0282</t>
  </si>
  <si>
    <t>ORD0283</t>
  </si>
  <si>
    <t>CUST055</t>
  </si>
  <si>
    <t>ORD0284</t>
  </si>
  <si>
    <t>ORD0285</t>
  </si>
  <si>
    <t>CUST017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</si>
  <si>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</si>
  <si>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</si>
  <si>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</si>
  <si>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</si>
  <si>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</si>
  <si>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</si>
  <si>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</si>
  <si>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</si>
  <si>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CUST090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</si>
  <si>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</si>
  <si>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</si>
  <si>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</si>
  <si>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</si>
  <si>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</si>
  <si>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</si>
  <si>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</si>
  <si>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</si>
  <si>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</si>
  <si>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</si>
  <si>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</si>
  <si>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</si>
  <si>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</si>
  <si>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</si>
  <si>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</si>
  <si>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CUST013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</si>
  <si>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</si>
  <si>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</si>
  <si>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</si>
  <si>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</si>
  <si>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</si>
  <si>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</si>
  <si>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</si>
  <si>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</si>
  <si>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</si>
  <si>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</si>
  <si>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</si>
  <si>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</si>
  <si>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</si>
  <si>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</si>
  <si>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</si>
  <si>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</si>
  <si>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</si>
  <si>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</si>
  <si>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</si>
  <si>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</si>
  <si>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</si>
  <si>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</si>
  <si>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</si>
  <si>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</si>
  <si>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</si>
  <si>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</si>
  <si>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</si>
  <si>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</si>
  <si>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</si>
  <si>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</si>
  <si>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</si>
  <si>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</si>
  <si>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</si>
  <si>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</si>
  <si>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</si>
  <si>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</si>
  <si>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</si>
  <si>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</si>
  <si>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</si>
  <si>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</si>
  <si>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</si>
  <si>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</si>
  <si>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</si>
  <si>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</si>
  <si>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</si>
  <si>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</si>
  <si>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CUST052</t>
  </si>
  <si>
    <t>ORD0355</t>
  </si>
  <si>
    <t>ORD0356</t>
  </si>
  <si>
    <t>ORD0357</t>
  </si>
  <si>
    <t>ORD0358</t>
  </si>
  <si>
    <t>ORD0359</t>
  </si>
  <si>
    <t>ORD0360</t>
  </si>
  <si>
    <t>ProductName</t>
  </si>
  <si>
    <t>Category</t>
  </si>
  <si>
    <t>UnitPrice</t>
  </si>
  <si>
    <t>Product_1</t>
  </si>
  <si>
    <t>Electronics</t>
  </si>
  <si>
    <t>Product_2</t>
  </si>
  <si>
    <t>Product_3</t>
  </si>
  <si>
    <t>Home</t>
  </si>
  <si>
    <t>Product_4</t>
  </si>
  <si>
    <t>Clothing</t>
  </si>
  <si>
    <t>Product_5</t>
  </si>
  <si>
    <t>Sports</t>
  </si>
  <si>
    <t>Product_6</t>
  </si>
  <si>
    <t>Product_7</t>
  </si>
  <si>
    <t>Beauty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</si>
  <si>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</si>
  <si>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</si>
  <si>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</si>
  <si>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</si>
  <si>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</si>
  <si>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</si>
  <si>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</si>
  <si>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</si>
  <si>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</si>
  <si>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</si>
  <si>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</si>
  <si>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</si>
  <si>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</si>
  <si>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</si>
  <si>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</si>
  <si>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</si>
  <si>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</si>
  <si>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</si>
  <si>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</si>
  <si>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</si>
  <si>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</si>
  <si>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</si>
  <si>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</si>
  <si>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</si>
  <si>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</si>
  <si>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</si>
  <si>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</si>
  <si>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</si>
  <si>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</si>
  <si>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</si>
  <si>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</si>
  <si>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</si>
  <si>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</si>
  <si>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CustomerName</t>
  </si>
  <si>
    <t>Email</t>
  </si>
  <si>
    <t>Country</t>
  </si>
  <si>
    <t>SignupDate</t>
  </si>
  <si>
    <t>Customer_1</t>
  </si>
  <si>
    <t>customer1@email.com</t>
  </si>
  <si>
    <t>India</t>
  </si>
  <si>
    <t>Customer_2</t>
  </si>
  <si>
    <t>customer2@email.com</t>
  </si>
  <si>
    <t>Customer_3</t>
  </si>
  <si>
    <t>customer3@email.com</t>
  </si>
  <si>
    <t>United Kingdom</t>
  </si>
  <si>
    <t>Customer_4</t>
  </si>
  <si>
    <t>customer4@email.com</t>
  </si>
  <si>
    <t>Customer_5</t>
  </si>
  <si>
    <t>customer5@email.com</t>
  </si>
  <si>
    <t>Customer_6</t>
  </si>
  <si>
    <t>customer6@email.com</t>
  </si>
  <si>
    <t>CUST007</t>
  </si>
  <si>
    <t>Customer_7</t>
  </si>
  <si>
    <t>customer7@email.com</t>
  </si>
  <si>
    <t>United States</t>
  </si>
  <si>
    <t>Customer_8</t>
  </si>
  <si>
    <t>customer8@email.com</t>
  </si>
  <si>
    <t>Customer_9</t>
  </si>
  <si>
    <t>customer9@email.com</t>
  </si>
  <si>
    <t>Customer_10</t>
  </si>
  <si>
    <t>customer10@email.com</t>
  </si>
  <si>
    <t>Canada</t>
  </si>
  <si>
    <t>Customer_11</t>
  </si>
  <si>
    <t>customer11@email.com</t>
  </si>
  <si>
    <t>Customer_12</t>
  </si>
  <si>
    <t>customer12@email.com</t>
  </si>
  <si>
    <t>Customer_13</t>
  </si>
  <si>
    <t>customer13@email.com</t>
  </si>
  <si>
    <t>Customer_14</t>
  </si>
  <si>
    <t>customer14@email.com</t>
  </si>
  <si>
    <t>Customer_15</t>
  </si>
  <si>
    <t>customer15@email.com</t>
  </si>
  <si>
    <t>Customer_16</t>
  </si>
  <si>
    <t>customer16@email.com</t>
  </si>
  <si>
    <t>Customer_17</t>
  </si>
  <si>
    <t>customer17@email.com</t>
  </si>
  <si>
    <t>Customer_18</t>
  </si>
  <si>
    <t>customer18@email.com</t>
  </si>
  <si>
    <t>Customer_19</t>
  </si>
  <si>
    <t>customer19@email.com</t>
  </si>
  <si>
    <t>Customer_20</t>
  </si>
  <si>
    <t>customer20@email.com</t>
  </si>
  <si>
    <t>Customer_21</t>
  </si>
  <si>
    <t>customer21@email.com</t>
  </si>
  <si>
    <t>Customer_22</t>
  </si>
  <si>
    <t>customer22@email.com</t>
  </si>
  <si>
    <t>Customer_23</t>
  </si>
  <si>
    <t>customer23@email.com</t>
  </si>
  <si>
    <t>Customer_24</t>
  </si>
  <si>
    <t>customer24@email.com</t>
  </si>
  <si>
    <t>Customer_25</t>
  </si>
  <si>
    <t>customer25@email.com</t>
  </si>
  <si>
    <t>Customer_26</t>
  </si>
  <si>
    <t>customer26@email.com</t>
  </si>
  <si>
    <t>Customer_27</t>
  </si>
  <si>
    <t>customer27@email.com</t>
  </si>
  <si>
    <t>CUST028</t>
  </si>
  <si>
    <t>Customer_28</t>
  </si>
  <si>
    <t>customer28@email.com</t>
  </si>
  <si>
    <t>Customer_29</t>
  </si>
  <si>
    <t>customer29@email.com</t>
  </si>
  <si>
    <t>Customer_30</t>
  </si>
  <si>
    <t>customer30@email.com</t>
  </si>
  <si>
    <t>Customer_31</t>
  </si>
  <si>
    <t>customer31@email.com</t>
  </si>
  <si>
    <t>Customer_32</t>
  </si>
  <si>
    <t>customer32@email.com</t>
  </si>
  <si>
    <t>Customer_33</t>
  </si>
  <si>
    <t>customer33@email.com</t>
  </si>
  <si>
    <t>Customer_34</t>
  </si>
  <si>
    <t>customer34@email.com</t>
  </si>
  <si>
    <t>Customer_35</t>
  </si>
  <si>
    <t>customer35@email.com</t>
  </si>
  <si>
    <t>Customer_36</t>
  </si>
  <si>
    <t>customer36@email.com</t>
  </si>
  <si>
    <t>CUST037</t>
  </si>
  <si>
    <t>Customer_37</t>
  </si>
  <si>
    <t>customer37@email.com</t>
  </si>
  <si>
    <t>Customer_38</t>
  </si>
  <si>
    <t>customer38@email.com</t>
  </si>
  <si>
    <t>Customer_39</t>
  </si>
  <si>
    <t>customer39@email.com</t>
  </si>
  <si>
    <t>Customer_40</t>
  </si>
  <si>
    <t>customer40@email.com</t>
  </si>
  <si>
    <t>Customer_41</t>
  </si>
  <si>
    <t>customer41@email.com</t>
  </si>
  <si>
    <t>Customer_42</t>
  </si>
  <si>
    <t>customer42@email.com</t>
  </si>
  <si>
    <t>Customer_43</t>
  </si>
  <si>
    <t>customer43@email.com</t>
  </si>
  <si>
    <t>Customer_44</t>
  </si>
  <si>
    <t>customer44@email.com</t>
  </si>
  <si>
    <t>Customer_45</t>
  </si>
  <si>
    <t>customer45@email.com</t>
  </si>
  <si>
    <t>Customer_46</t>
  </si>
  <si>
    <t>customer46@email.com</t>
  </si>
  <si>
    <t>Customer_47</t>
  </si>
  <si>
    <t>customer47@email.com</t>
  </si>
  <si>
    <t>Customer_48</t>
  </si>
  <si>
    <t>customer48@email.com</t>
  </si>
  <si>
    <t>Customer_49</t>
  </si>
  <si>
    <t>customer49@email.com</t>
  </si>
  <si>
    <t>Customer_50</t>
  </si>
  <si>
    <t>customer50@email.com</t>
  </si>
  <si>
    <t>Customer_51</t>
  </si>
  <si>
    <t>customer51@email.com</t>
  </si>
  <si>
    <t>Customer_52</t>
  </si>
  <si>
    <t>customer52@email.com</t>
  </si>
  <si>
    <t>Customer_53</t>
  </si>
  <si>
    <t>customer53@email.com</t>
  </si>
  <si>
    <t>Customer_54</t>
  </si>
  <si>
    <t>customer54@email.com</t>
  </si>
  <si>
    <t>Customer_55</t>
  </si>
  <si>
    <t>customer55@email.com</t>
  </si>
  <si>
    <t>Customer_56</t>
  </si>
  <si>
    <t>customer56@email.com</t>
  </si>
  <si>
    <t>CUST057</t>
  </si>
  <si>
    <t>Customer_57</t>
  </si>
  <si>
    <t>customer57@email.com</t>
  </si>
  <si>
    <t>Customer_58</t>
  </si>
  <si>
    <t>customer58@email.com</t>
  </si>
  <si>
    <t>Customer_59</t>
  </si>
  <si>
    <t>customer59@email.com</t>
  </si>
  <si>
    <t>Customer_60</t>
  </si>
  <si>
    <t>customer60@email.com</t>
  </si>
  <si>
    <t>Customer_61</t>
  </si>
  <si>
    <t>customer61@email.com</t>
  </si>
  <si>
    <t>Customer_62</t>
  </si>
  <si>
    <t>customer62@email.com</t>
  </si>
  <si>
    <t>Customer_63</t>
  </si>
  <si>
    <t>customer63@email.com</t>
  </si>
  <si>
    <t>Customer_64</t>
  </si>
  <si>
    <t>customer64@email.com</t>
  </si>
  <si>
    <t>CUST065</t>
  </si>
  <si>
    <t>Customer_65</t>
  </si>
  <si>
    <t>customer65@email.com</t>
  </si>
  <si>
    <t>Customer_66</t>
  </si>
  <si>
    <t>customer66@email.com</t>
  </si>
  <si>
    <t>Customer_67</t>
  </si>
  <si>
    <t>customer67@email.com</t>
  </si>
  <si>
    <t>Customer_68</t>
  </si>
  <si>
    <t>customer68@email.com</t>
  </si>
  <si>
    <t>Customer_69</t>
  </si>
  <si>
    <t>customer69@email.com</t>
  </si>
  <si>
    <t>Customer_70</t>
  </si>
  <si>
    <t>customer70@email.com</t>
  </si>
  <si>
    <t>Customer_71</t>
  </si>
  <si>
    <t>customer71@email.com</t>
  </si>
  <si>
    <t>Customer_72</t>
  </si>
  <si>
    <t>customer72@email.com</t>
  </si>
  <si>
    <t>Customer_73</t>
  </si>
  <si>
    <t>customer73@email.com</t>
  </si>
  <si>
    <t>Customer_74</t>
  </si>
  <si>
    <t>customer74@email.com</t>
  </si>
  <si>
    <t>Customer_75</t>
  </si>
  <si>
    <t>customer75@email.com</t>
  </si>
  <si>
    <t>Customer_76</t>
  </si>
  <si>
    <t>customer76@email.com</t>
  </si>
  <si>
    <t>Customer_77</t>
  </si>
  <si>
    <t>customer77@email.com</t>
  </si>
  <si>
    <t>Customer_78</t>
  </si>
  <si>
    <t>customer78@email.com</t>
  </si>
  <si>
    <t>Customer_79</t>
  </si>
  <si>
    <t>customer79@email.com</t>
  </si>
  <si>
    <t>Customer_80</t>
  </si>
  <si>
    <t>customer80@email.com</t>
  </si>
  <si>
    <t>Customer_81</t>
  </si>
  <si>
    <t>customer81@email.com</t>
  </si>
  <si>
    <t>Customer_82</t>
  </si>
  <si>
    <t>customer82@email.com</t>
  </si>
  <si>
    <t>Customer_83</t>
  </si>
  <si>
    <t>customer83@email.com</t>
  </si>
  <si>
    <t>Customer_84</t>
  </si>
  <si>
    <t>customer84@email.com</t>
  </si>
  <si>
    <t>Customer_85</t>
  </si>
  <si>
    <t>customer85@email.com</t>
  </si>
  <si>
    <t>Customer_86</t>
  </si>
  <si>
    <t>customer86@email.com</t>
  </si>
  <si>
    <t>Customer_87</t>
  </si>
  <si>
    <t>customer87@email.com</t>
  </si>
  <si>
    <t>Customer_88</t>
  </si>
  <si>
    <t>customer88@email.com</t>
  </si>
  <si>
    <t>Customer_89</t>
  </si>
  <si>
    <t>customer89@email.com</t>
  </si>
  <si>
    <t>Customer_90</t>
  </si>
  <si>
    <t>customer90@email.com</t>
  </si>
  <si>
    <t>Customer_91</t>
  </si>
  <si>
    <t>customer91@email.com</t>
  </si>
  <si>
    <t>Customer_92</t>
  </si>
  <si>
    <t>customer92@email.com</t>
  </si>
  <si>
    <t>Customer_93</t>
  </si>
  <si>
    <t>customer93@email.com</t>
  </si>
  <si>
    <t>Customer_94</t>
  </si>
  <si>
    <t>customer94@email.com</t>
  </si>
  <si>
    <t>Customer_95</t>
  </si>
  <si>
    <t>customer95@email.com</t>
  </si>
  <si>
    <t>Customer_96</t>
  </si>
  <si>
    <t>customer96@email.com</t>
  </si>
  <si>
    <t>Customer_97</t>
  </si>
  <si>
    <t>customer97@email.com</t>
  </si>
  <si>
    <t>Customer_98</t>
  </si>
  <si>
    <t>customer98@email.com</t>
  </si>
  <si>
    <t>Customer_99</t>
  </si>
  <si>
    <t>customer99@email.com</t>
  </si>
  <si>
    <t>Customer_100</t>
  </si>
  <si>
    <t>customer100@email.com</t>
  </si>
  <si>
    <t>Customer_101</t>
  </si>
  <si>
    <t>customer101@email.com</t>
  </si>
  <si>
    <t>Customer_102</t>
  </si>
  <si>
    <t>customer102@email.com</t>
  </si>
  <si>
    <t>Customer_103</t>
  </si>
  <si>
    <t>customer103@email.com</t>
  </si>
  <si>
    <t>Customer_104</t>
  </si>
  <si>
    <t>customer104@email.com</t>
  </si>
  <si>
    <t>Customer_105</t>
  </si>
  <si>
    <t>customer105@email.com</t>
  </si>
  <si>
    <t>Customer_106</t>
  </si>
  <si>
    <t>customer106@email.com</t>
  </si>
  <si>
    <t>Customer_107</t>
  </si>
  <si>
    <t>customer107@email.com</t>
  </si>
  <si>
    <t>Customer_108</t>
  </si>
  <si>
    <t>customer108@email.com</t>
  </si>
  <si>
    <t>Customer_109</t>
  </si>
  <si>
    <t>customer109@email.com</t>
  </si>
  <si>
    <t>Customer_110</t>
  </si>
  <si>
    <t>customer110@email.com</t>
  </si>
  <si>
    <t>Customer_111</t>
  </si>
  <si>
    <t>customer111@email.com</t>
  </si>
  <si>
    <t>Customer_112</t>
  </si>
  <si>
    <t>customer112@email.com</t>
  </si>
  <si>
    <t>Customer_113</t>
  </si>
  <si>
    <t>customer113@email.com</t>
  </si>
  <si>
    <t>Customer_114</t>
  </si>
  <si>
    <t>customer114@email.com</t>
  </si>
  <si>
    <t>Customer_115</t>
  </si>
  <si>
    <t>customer115@email.com</t>
  </si>
  <si>
    <t>Customer_116</t>
  </si>
  <si>
    <t>customer116@email.com</t>
  </si>
  <si>
    <t>Customer_117</t>
  </si>
  <si>
    <t>customer117@email.com</t>
  </si>
  <si>
    <t>Customer_118</t>
  </si>
  <si>
    <t>customer118@email.com</t>
  </si>
  <si>
    <t>Customer_119</t>
  </si>
  <si>
    <t>customer119@email.com</t>
  </si>
  <si>
    <t>Customer_120</t>
  </si>
  <si>
    <t>customer120@email.com</t>
  </si>
  <si>
    <t>Product_Category</t>
  </si>
  <si>
    <t>Unit_Price</t>
  </si>
  <si>
    <t>Revenue Per Order</t>
  </si>
  <si>
    <t>Total Revenue Generated</t>
  </si>
  <si>
    <t>Total Quantity Sold</t>
  </si>
  <si>
    <t>Average Order Value</t>
  </si>
  <si>
    <t>Metrics</t>
  </si>
  <si>
    <t>Product Category</t>
  </si>
  <si>
    <t>Figures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</si>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</sst>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yyyy\-mm\-dd"/>
    <numFmt numFmtId="165" formatCode="[$₦-468]\ #,##0.00"/>
    <numFmt numFmtId="166" formatCode="[$₦-470]#,##0.00"/>
  </numFmts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1" fillId="0" borderId="1" xfId="0" applyNumberFormat="1" applyFont="1" applyBorder="1" applyAlignment="1">
      <alignment horizontal="center" vertical="top"/>
    </xf>
    <xf numFmtId="166" fontId="1" fillId="0" borderId="1" xfId="1" applyNumberFormat="1" applyFont="1" applyBorder="1" applyAlignment="1">
      <alignment horizontal="center" vertical="top"/>
    </xf>
    <xf numFmtId="166" fontId="0" fillId="0" borderId="0" xfId="1" applyNumberFormat="1" applyFont="1" applyAlignment="1">
      <alignment horizontal="center"/>
    </xf>
    <xf numFmtId="166" fontId="0" fillId="0" borderId="0" xfId="1" applyNumberFormat="1" applyFont="1"/>
    <xf numFmtId="165" fontId="0" fillId="0" borderId="0" xfId="0" applyNumberFormat="1"/>
  </cellXfs>
  <cellStyles count="2">
    <cellStyle name="Currency" xfId="1" builtinId="4"/>
    <cellStyle name="Normal" xfId="0" builtinId="0"/>
  </cellStyles>
  <dxfs count="37"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[$₦-468]\ #,##0.00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[$₦-468]\ #,##0.00"/>
    </dxf>
    <dxf>
      <numFmt numFmtId="165" formatCode="[$₦-468]\ #,##0.00"/>
    </dxf>
    <dxf>
      <numFmt numFmtId="165" formatCode="[$₦-468]\ #,##0.0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[$₦-470]#,##0.00"/>
      <alignment horizontal="center" vertical="bottom" textRotation="0" wrapText="0" indent="0" justifyLastLine="0" shrinkToFit="0" readingOrder="0"/>
    </dxf>
    <dxf>
      <numFmt numFmtId="166" formatCode="[$₦-470]#,##0.00"/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165" formatCode="[$₦-468]\ #,##0.00"/>
      <alignment horizontal="center" vertical="bottom" textRotation="0" wrapText="0" indent="0" justifyLastLine="0" shrinkToFit="0" readingOrder="0"/>
    </dxf>
    <dxf>
      <numFmt numFmtId="165" formatCode="[$₦-468]\ #,##0.00"/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4" formatCode="yyyy\-mm\-dd"/>
      <alignment horizontal="center" vertical="bottom" textRotation="0" wrapText="0" indent="0" justifyLastLine="0" shrinkToFit="0" readingOrder="0"/>
    </dxf>
    <dxf>
      <numFmt numFmtId="164" formatCode="yyyy\-mm\-dd"/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FFFFFF"/>
      <color rgb="FF2F5597"/>
      <color rgb="FF70AD47"/>
      <color rgb="FF6B7280"/>
      <color rgb="FFF4F6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427B6A-4E18-42E6-99B9-012E2E60C373}" name="Sales_Table" displayName="Sales_Table" ref="A1:J362" totalsRowCount="1" headerRowDxfId="36" headerRowBorderDxfId="35" tableBorderDxfId="34">
  <autoFilter ref="A1:J361" xr:uid="{CA427B6A-4E18-42E6-99B9-012E2E60C373}"/>
  <tableColumns count="10">
    <tableColumn id="1" xr3:uid="{69E922B6-2897-4E79-9207-ED38BCCCE77B}" name="OrderID" totalsRowFunction="custom" dataDxfId="33" totalsRowDxfId="32">
      <totalsRowFormula>COUNTA(Sales_Table[OrderID])</totalsRowFormula>
    </tableColumn>
    <tableColumn id="2" xr3:uid="{5F80EADF-9518-4C68-AED5-544D8677D307}" name="OrderDate" dataDxfId="31" totalsRowDxfId="30"/>
    <tableColumn id="3" xr3:uid="{FB313ACF-55BF-4DCF-B55D-0A87B3126A2D}" name="CustomerID" dataDxfId="29" totalsRowDxfId="28"/>
    <tableColumn id="4" xr3:uid="{B9DF373E-66BB-49FC-BAC9-F1A7FB78A97D}" name="ProductID" dataDxfId="27" totalsRowDxfId="26"/>
    <tableColumn id="5" xr3:uid="{F7FCEED4-2E0D-497B-ADF1-7204F1854CEE}" name="Quantity" totalsRowFunction="custom" dataDxfId="25" totalsRowDxfId="24">
      <totalsRowFormula>SUM(Sales_Table[Quantity])</totalsRowFormula>
    </tableColumn>
    <tableColumn id="6" xr3:uid="{E36108A1-CB83-4301-89F9-7B6D95F530CE}" name="SalesAmount" totalsRowFunction="custom" dataDxfId="23" totalsRowDxfId="22">
      <totalsRowFormula>SUM(Sales_Table[SalesAmount])</totalsRowFormula>
    </tableColumn>
    <tableColumn id="7" xr3:uid="{853CF3A6-89EE-4A20-967F-77B2ECC024FA}" name="Product_Category" dataDxfId="21" totalsRowDxfId="20">
      <calculatedColumnFormula>_xlfn.XLOOKUP(Sales_Table[[#This Row],[ProductID]],Products!A:A,Products!C:C,)</calculatedColumnFormula>
    </tableColumn>
    <tableColumn id="8" xr3:uid="{FD365E54-109E-4F6B-A8F0-3E223BAC5D6C}" name="Unit_Price" dataDxfId="19" totalsRowDxfId="18" dataCellStyle="Currency" totalsRowCellStyle="Currency">
      <calculatedColumnFormula>VLOOKUP(D2,Products_Table[],4,FALSE)</calculatedColumnFormula>
    </tableColumn>
    <tableColumn id="9" xr3:uid="{AF975A53-2FA7-41AD-94E6-38723427C645}" name="Country" dataDxfId="17" totalsRowDxfId="16">
      <calculatedColumnFormula>VLOOKUP(C2,Customer_Table[],4,FALSE)</calculatedColumnFormula>
    </tableColumn>
    <tableColumn id="10" xr3:uid="{D62A174B-A411-479C-8E47-4D1D6F5A6CDB}" name="Revenue Per Order" dataDxfId="15" totalsRowDxfId="14">
      <calculatedColumnFormula>IF($E$2*$H$2=$F$2,"MATCH","DESCREPANCY")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B09188B-ED08-4F1C-A888-CF6B209FD7A0}" name="Table5" displayName="Table5" ref="M1:N4" totalsRowShown="0">
  <autoFilter ref="M1:N4" xr:uid="{BB09188B-ED08-4F1C-A888-CF6B209FD7A0}"/>
  <tableColumns count="2">
    <tableColumn id="1" xr3:uid="{92CA9AD1-49B6-40B3-A92C-A425809D9D49}" name="Metrics"/>
    <tableColumn id="2" xr3:uid="{576F5648-CBC9-4C95-B56E-E47941192B91}" name="Figures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B8043D5-8929-4E29-949D-A6DCEF28FDA1}" name="Table6" displayName="Table6" ref="M7:N12" totalsRowShown="0">
  <autoFilter ref="M7:N12" xr:uid="{DB8043D5-8929-4E29-949D-A6DCEF28FDA1}"/>
  <tableColumns count="2">
    <tableColumn id="1" xr3:uid="{CFA9B9BA-CE83-4876-9497-2871897C442A}" name="Product Category"/>
    <tableColumn id="2" xr3:uid="{26786723-47F0-4F71-A98B-A89BF95A7251}" name="Total Revenue" dataDxfId="12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37F8F9F-7395-4E69-B172-FC2167F6CDBC}" name="Table7" displayName="Table7" ref="M15:N19" totalsRowShown="0">
  <autoFilter ref="M15:N19" xr:uid="{137F8F9F-7395-4E69-B172-FC2167F6CDBC}"/>
  <tableColumns count="2">
    <tableColumn id="1" xr3:uid="{507957B1-06C1-4120-8753-48C08274E36F}" name="Country"/>
    <tableColumn id="2" xr3:uid="{1695239C-7B9E-4722-9D2D-0B2A91AAD542}" name="Total Revenue" dataDxfId="11">
      <calculatedColumnFormula>SUMIFS(F:F,I:I,M16)</calculatedColumnFormula>
    </tableColumn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94A045-A9AB-4CA1-BF76-C458D92F77CD}" name="Products_Table" displayName="Products_Table" ref="A1:D41" totalsRowShown="0" headerRowDxfId="10" headerRowBorderDxfId="9" tableBorderDxfId="8">
  <autoFilter ref="A1:D41" xr:uid="{FB94A045-A9AB-4CA1-BF76-C458D92F77CD}"/>
  <tableColumns count="4">
    <tableColumn id="1" xr3:uid="{4DB5A02E-BFBA-48DB-9F52-1EA20C5413BD}" name="ProductID" dataDxfId="7"/>
    <tableColumn id="2" xr3:uid="{03E24E8B-B5D7-41AE-A203-0988BDCB856E}" name="ProductName" dataDxfId="6"/>
    <tableColumn id="3" xr3:uid="{7C8BDF7A-312D-4414-A722-6050827686D9}" name="Category" dataDxfId="5"/>
    <tableColumn id="4" xr3:uid="{744D8D36-0F77-4BA6-9165-5ADABB66A5CA}" name="UnitPrice" dataDxfId="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64606F-9D35-4FBB-96BB-350A413F1330}" name="Customer_Table" displayName="Customer_Table" ref="A1:E121" totalsRowShown="0" headerRowDxfId="3" headerRowBorderDxfId="2" tableBorderDxfId="1">
  <autoFilter ref="A1:E121" xr:uid="{7364606F-9D35-4FBB-96BB-350A413F1330}"/>
  <tableColumns count="5">
    <tableColumn id="1" xr3:uid="{027F0A6D-43E0-47AE-815F-4A6E5E34E8A7}" name="CustomerID"/>
    <tableColumn id="2" xr3:uid="{485A1BA9-C9D2-45BC-9D4E-BA96457F4A55}" name="CustomerName"/>
    <tableColumn id="3" xr3:uid="{ED659E7B-C8E5-4288-BB36-96C2D8152D87}" name="Email"/>
    <tableColumn id="4" xr3:uid="{24435A24-1A2C-4FBB-9A95-F2D7240745EA}" name="Country"/>
    <tableColumn id="5" xr3:uid="{57F7CCD8-46C2-45F5-9CCF-88D5CC570A55}" name="Signup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AC909-E9CD-41BA-A6CC-A8B6EE58C99D}">
  <dimension ref="A1:N362"/>
  <sheetViews>
    <sheetView tabSelected="1" workbookViewId="0">
      <selection activeCell="E1" activeCellId="1" sqref="F1:F1048576 E1:E1048576"/>
    </sheetView>
  </sheetViews>
  <sheetFormatPr defaultRowHeight="15" x14ac:dyDescent="0.25"/>
  <cols>
    <col min="1" max="1" width="12.5703125" style="3" bestFit="1" customWidth="1"/>
    <col min="2" max="2" width="14.85546875" style="3" bestFit="1" customWidth="1"/>
    <col min="3" max="3" width="16" style="3" bestFit="1" customWidth="1"/>
    <col min="4" max="4" width="14.28515625" style="3" bestFit="1" customWidth="1"/>
    <col min="5" max="5" width="13.28515625" style="3" bestFit="1" customWidth="1"/>
    <col min="6" max="6" width="17.28515625" style="5" bestFit="1" customWidth="1"/>
    <col min="7" max="7" width="21.42578125" bestFit="1" customWidth="1"/>
    <col min="8" max="8" width="14.85546875" style="9" bestFit="1" customWidth="1"/>
    <col min="9" max="9" width="15.140625" bestFit="1" customWidth="1"/>
    <col min="10" max="10" width="22.7109375" bestFit="1" customWidth="1"/>
    <col min="13" max="13" width="23" bestFit="1" customWidth="1"/>
    <col min="14" max="14" width="16" style="10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" t="s">
        <v>5</v>
      </c>
      <c r="G1" s="2" t="s">
        <v>822</v>
      </c>
      <c r="H1" s="7" t="s">
        <v>823</v>
      </c>
      <c r="I1" s="2" t="s">
        <v>571</v>
      </c>
      <c r="J1" s="2" t="s">
        <v>824</v>
      </c>
      <c r="M1" t="s">
        <v>828</v>
      </c>
      <c r="N1" s="10" t="s">
        <v>830</v>
      </c>
    </row>
    <row r="2" spans="1:14" x14ac:dyDescent="0.25">
      <c r="A2" s="3" t="s">
        <v>6</v>
      </c>
      <c r="B2" s="4">
        <v>45302</v>
      </c>
      <c r="C2" s="3" t="s">
        <v>7</v>
      </c>
      <c r="D2" s="3" t="s">
        <v>8</v>
      </c>
      <c r="E2" s="3">
        <v>5</v>
      </c>
      <c r="F2" s="5">
        <v>2098.25</v>
      </c>
      <c r="G2" s="3" t="str">
        <f>_xlfn.XLOOKUP(Sales_Table[[#This Row],[ProductID]],Products!A:A,Products!C:C,)</f>
        <v>Sports</v>
      </c>
      <c r="H2" s="8">
        <f>VLOOKUP(D2,Products_Table[],4,FALSE)</f>
        <v>419.65</v>
      </c>
      <c r="I2" s="3" t="str">
        <f>VLOOKUP(C2,Customer_Table[],4,FALSE)</f>
        <v>Canada</v>
      </c>
      <c r="J2" s="3" t="str">
        <f>IF($E$2*$H$2=$F$2,"MATCH","DESCREPANCY")</f>
        <v>MATCH</v>
      </c>
      <c r="M2" t="s">
        <v>825</v>
      </c>
      <c r="N2" s="10">
        <v>249314.65</v>
      </c>
    </row>
    <row r="3" spans="1:14" x14ac:dyDescent="0.25">
      <c r="A3" s="3" t="s">
        <v>9</v>
      </c>
      <c r="B3" s="4">
        <v>45312</v>
      </c>
      <c r="C3" s="3" t="s">
        <v>10</v>
      </c>
      <c r="D3" s="3" t="s">
        <v>11</v>
      </c>
      <c r="E3" s="3">
        <v>5</v>
      </c>
      <c r="F3" s="5">
        <v>199.35</v>
      </c>
      <c r="G3" s="3" t="str">
        <f>_xlfn.XLOOKUP(Sales_Table[[#This Row],[ProductID]],Products!A:A,Products!C:C,)</f>
        <v>Sports</v>
      </c>
      <c r="H3" s="8">
        <f>VLOOKUP(D3,Products_Table[],4,FALSE)</f>
        <v>39.869999999999997</v>
      </c>
      <c r="I3" s="3" t="str">
        <f>VLOOKUP(C3,Customer_Table[],4,FALSE)</f>
        <v>India</v>
      </c>
      <c r="J3" s="3" t="str">
        <f t="shared" ref="J3:J65" si="0">IF($E$2*$H$2=$F$2,"MATCH","DESCREPANCY")</f>
        <v>MATCH</v>
      </c>
      <c r="M3" t="s">
        <v>826</v>
      </c>
      <c r="N3" s="10">
        <v>1080</v>
      </c>
    </row>
    <row r="4" spans="1:14" x14ac:dyDescent="0.25">
      <c r="A4" s="3" t="s">
        <v>12</v>
      </c>
      <c r="B4" s="4">
        <v>45460</v>
      </c>
      <c r="C4" s="3" t="s">
        <v>13</v>
      </c>
      <c r="D4" s="3" t="s">
        <v>14</v>
      </c>
      <c r="E4" s="3">
        <v>4</v>
      </c>
      <c r="F4" s="5">
        <v>946.76</v>
      </c>
      <c r="G4" s="3" t="str">
        <f>_xlfn.XLOOKUP(Sales_Table[[#This Row],[ProductID]],Products!A:A,Products!C:C,)</f>
        <v>Home</v>
      </c>
      <c r="H4" s="8">
        <f>VLOOKUP(D4,Products_Table[],4,FALSE)</f>
        <v>236.69</v>
      </c>
      <c r="I4" s="3" t="str">
        <f>VLOOKUP(C4,Customer_Table[],4,FALSE)</f>
        <v>Canada</v>
      </c>
      <c r="J4" s="3" t="str">
        <f t="shared" si="0"/>
        <v>MATCH</v>
      </c>
      <c r="M4" t="s">
        <v>827</v>
      </c>
      <c r="N4" s="10">
        <f>N2/E362</f>
        <v>230.84689814814814</v>
      </c>
    </row>
    <row r="5" spans="1:14" x14ac:dyDescent="0.25">
      <c r="A5" s="3" t="s">
        <v>15</v>
      </c>
      <c r="B5" s="4">
        <v>45436</v>
      </c>
      <c r="C5" s="3" t="s">
        <v>16</v>
      </c>
      <c r="D5" s="3" t="s">
        <v>17</v>
      </c>
      <c r="E5" s="3">
        <v>5</v>
      </c>
      <c r="F5" s="5">
        <v>1972.3</v>
      </c>
      <c r="G5" s="3" t="str">
        <f>_xlfn.XLOOKUP(Sales_Table[[#This Row],[ProductID]],Products!A:A,Products!C:C,)</f>
        <v>Clothing</v>
      </c>
      <c r="H5" s="8">
        <f>VLOOKUP(D5,Products_Table[],4,FALSE)</f>
        <v>394.46</v>
      </c>
      <c r="I5" s="3" t="str">
        <f>VLOOKUP(C5,Customer_Table[],4,FALSE)</f>
        <v>Canada</v>
      </c>
      <c r="J5" s="3" t="str">
        <f t="shared" si="0"/>
        <v>MATCH</v>
      </c>
    </row>
    <row r="6" spans="1:14" x14ac:dyDescent="0.25">
      <c r="A6" s="3" t="s">
        <v>18</v>
      </c>
      <c r="B6" s="4">
        <v>45372</v>
      </c>
      <c r="C6" s="3" t="s">
        <v>19</v>
      </c>
      <c r="D6" s="3" t="s">
        <v>20</v>
      </c>
      <c r="E6" s="3">
        <v>5</v>
      </c>
      <c r="F6" s="5">
        <v>1039.25</v>
      </c>
      <c r="G6" s="3" t="str">
        <f>_xlfn.XLOOKUP(Sales_Table[[#This Row],[ProductID]],Products!A:A,Products!C:C,)</f>
        <v>Clothing</v>
      </c>
      <c r="H6" s="8">
        <f>VLOOKUP(D6,Products_Table[],4,FALSE)</f>
        <v>207.85</v>
      </c>
      <c r="I6" s="3" t="str">
        <f>VLOOKUP(C6,Customer_Table[],4,FALSE)</f>
        <v>United States</v>
      </c>
      <c r="J6" s="3" t="str">
        <f t="shared" si="0"/>
        <v>MATCH</v>
      </c>
    </row>
    <row r="7" spans="1:14" x14ac:dyDescent="0.25">
      <c r="A7" s="3" t="s">
        <v>21</v>
      </c>
      <c r="B7" s="4">
        <v>45344</v>
      </c>
      <c r="C7" s="3" t="s">
        <v>22</v>
      </c>
      <c r="D7" s="3" t="s">
        <v>23</v>
      </c>
      <c r="E7" s="3">
        <v>3</v>
      </c>
      <c r="F7" s="5">
        <v>309.89999999999998</v>
      </c>
      <c r="G7" s="3" t="str">
        <f>_xlfn.XLOOKUP(Sales_Table[[#This Row],[ProductID]],Products!A:A,Products!C:C,)</f>
        <v>Beauty</v>
      </c>
      <c r="H7" s="8">
        <f>VLOOKUP(D7,Products_Table[],4,FALSE)</f>
        <v>103.3</v>
      </c>
      <c r="I7" s="3" t="str">
        <f>VLOOKUP(C7,Customer_Table[],4,FALSE)</f>
        <v>United States</v>
      </c>
      <c r="J7" s="3" t="str">
        <f t="shared" si="0"/>
        <v>MATCH</v>
      </c>
      <c r="M7" t="s">
        <v>829</v>
      </c>
      <c r="N7" s="10" t="s">
        <v>831</v>
      </c>
    </row>
    <row r="8" spans="1:14" x14ac:dyDescent="0.25">
      <c r="A8" s="3" t="s">
        <v>24</v>
      </c>
      <c r="B8" s="4">
        <v>45353</v>
      </c>
      <c r="C8" s="3" t="s">
        <v>25</v>
      </c>
      <c r="D8" s="3" t="s">
        <v>26</v>
      </c>
      <c r="E8" s="3">
        <v>3</v>
      </c>
      <c r="F8" s="5">
        <v>449.31</v>
      </c>
      <c r="G8" s="3" t="str">
        <f>_xlfn.XLOOKUP(Sales_Table[[#This Row],[ProductID]],Products!A:A,Products!C:C,)</f>
        <v>Beauty</v>
      </c>
      <c r="H8" s="8">
        <f>VLOOKUP(D8,Products_Table[],4,FALSE)</f>
        <v>149.77000000000001</v>
      </c>
      <c r="I8" s="3" t="str">
        <f>VLOOKUP(C8,Customer_Table[],4,FALSE)</f>
        <v>United Kingdom</v>
      </c>
      <c r="J8" s="3" t="str">
        <f t="shared" si="0"/>
        <v>MATCH</v>
      </c>
      <c r="M8" t="s">
        <v>525</v>
      </c>
      <c r="N8" s="10">
        <f>SUMIFS(F2:F361,G2:G361,M8)</f>
        <v>74267.189999999973</v>
      </c>
    </row>
    <row r="9" spans="1:14" x14ac:dyDescent="0.25">
      <c r="A9" s="3" t="s">
        <v>27</v>
      </c>
      <c r="B9" s="4">
        <v>45393</v>
      </c>
      <c r="C9" s="3" t="s">
        <v>7</v>
      </c>
      <c r="D9" s="3" t="s">
        <v>28</v>
      </c>
      <c r="E9" s="3">
        <v>3</v>
      </c>
      <c r="F9" s="5">
        <v>1356.6</v>
      </c>
      <c r="G9" s="3" t="str">
        <f>_xlfn.XLOOKUP(Sales_Table[[#This Row],[ProductID]],Products!A:A,Products!C:C,)</f>
        <v>Beauty</v>
      </c>
      <c r="H9" s="8">
        <f>VLOOKUP(D9,Products_Table[],4,FALSE)</f>
        <v>452.2</v>
      </c>
      <c r="I9" s="3" t="str">
        <f>VLOOKUP(C9,Customer_Table[],4,FALSE)</f>
        <v>Canada</v>
      </c>
      <c r="J9" s="3" t="str">
        <f t="shared" si="0"/>
        <v>MATCH</v>
      </c>
      <c r="M9" t="s">
        <v>532</v>
      </c>
      <c r="N9" s="10">
        <f>SUMIFS(F2:F361,G2:G361,G3)</f>
        <v>44843.459999999977</v>
      </c>
    </row>
    <row r="10" spans="1:14" x14ac:dyDescent="0.25">
      <c r="A10" s="3" t="s">
        <v>29</v>
      </c>
      <c r="B10" s="4">
        <v>45463</v>
      </c>
      <c r="C10" s="3" t="s">
        <v>30</v>
      </c>
      <c r="D10" s="3" t="s">
        <v>28</v>
      </c>
      <c r="E10" s="3">
        <v>2</v>
      </c>
      <c r="F10" s="5">
        <v>904.4</v>
      </c>
      <c r="G10" s="3" t="str">
        <f>_xlfn.XLOOKUP(Sales_Table[[#This Row],[ProductID]],Products!A:A,Products!C:C,)</f>
        <v>Beauty</v>
      </c>
      <c r="H10" s="8">
        <f>VLOOKUP(D10,Products_Table[],4,FALSE)</f>
        <v>452.2</v>
      </c>
      <c r="I10" s="3" t="str">
        <f>VLOOKUP(C10,Customer_Table[],4,FALSE)</f>
        <v>United Kingdom</v>
      </c>
      <c r="J10" s="3" t="str">
        <f t="shared" si="0"/>
        <v>MATCH</v>
      </c>
      <c r="M10" t="s">
        <v>530</v>
      </c>
      <c r="N10" s="10">
        <f>SUMIFS(F2:F361,G2:G361,G11)</f>
        <v>37792.22</v>
      </c>
    </row>
    <row r="11" spans="1:14" x14ac:dyDescent="0.25">
      <c r="A11" s="3" t="s">
        <v>31</v>
      </c>
      <c r="B11" s="4">
        <v>45409</v>
      </c>
      <c r="C11" s="3" t="s">
        <v>32</v>
      </c>
      <c r="D11" s="3" t="s">
        <v>17</v>
      </c>
      <c r="E11" s="3">
        <v>3</v>
      </c>
      <c r="F11" s="5">
        <v>1183.3800000000001</v>
      </c>
      <c r="G11" s="3" t="str">
        <f>_xlfn.XLOOKUP(Sales_Table[[#This Row],[ProductID]],Products!A:A,Products!C:C,)</f>
        <v>Clothing</v>
      </c>
      <c r="H11" s="8">
        <f>VLOOKUP(D11,Products_Table[],4,FALSE)</f>
        <v>394.46</v>
      </c>
      <c r="I11" s="3" t="str">
        <f>VLOOKUP(C11,Customer_Table[],4,FALSE)</f>
        <v>United Kingdom</v>
      </c>
      <c r="J11" s="3" t="str">
        <f t="shared" si="0"/>
        <v>MATCH</v>
      </c>
      <c r="M11" t="s">
        <v>535</v>
      </c>
      <c r="N11" s="10">
        <f>SUMIFS(F2:F361,G2:G361,G9)</f>
        <v>49960.629999999976</v>
      </c>
    </row>
    <row r="12" spans="1:14" x14ac:dyDescent="0.25">
      <c r="A12" s="3" t="s">
        <v>33</v>
      </c>
      <c r="B12" s="4">
        <v>45310</v>
      </c>
      <c r="C12" s="3" t="s">
        <v>34</v>
      </c>
      <c r="D12" s="3" t="s">
        <v>35</v>
      </c>
      <c r="E12" s="3">
        <v>3</v>
      </c>
      <c r="F12" s="5">
        <v>877.02</v>
      </c>
      <c r="G12" s="3" t="str">
        <f>_xlfn.XLOOKUP(Sales_Table[[#This Row],[ProductID]],Products!A:A,Products!C:C,)</f>
        <v>Sports</v>
      </c>
      <c r="H12" s="8">
        <f>VLOOKUP(D12,Products_Table[],4,FALSE)</f>
        <v>292.33999999999997</v>
      </c>
      <c r="I12" s="3" t="str">
        <f>VLOOKUP(C12,Customer_Table[],4,FALSE)</f>
        <v>United States</v>
      </c>
      <c r="J12" s="3" t="str">
        <f t="shared" si="0"/>
        <v>MATCH</v>
      </c>
      <c r="M12" t="s">
        <v>528</v>
      </c>
      <c r="N12" s="10">
        <f>SUMIFS(F2:F361,G2:G361,G25)</f>
        <v>42451.150000000009</v>
      </c>
    </row>
    <row r="13" spans="1:14" x14ac:dyDescent="0.25">
      <c r="A13" s="3" t="s">
        <v>36</v>
      </c>
      <c r="B13" s="4">
        <v>45409</v>
      </c>
      <c r="C13" s="3" t="s">
        <v>37</v>
      </c>
      <c r="D13" s="3" t="s">
        <v>38</v>
      </c>
      <c r="E13" s="3">
        <v>1</v>
      </c>
      <c r="F13" s="5">
        <v>334.32</v>
      </c>
      <c r="G13" s="3" t="str">
        <f>_xlfn.XLOOKUP(Sales_Table[[#This Row],[ProductID]],Products!A:A,Products!C:C,)</f>
        <v>Sports</v>
      </c>
      <c r="H13" s="8">
        <f>VLOOKUP(D13,Products_Table[],4,FALSE)</f>
        <v>334.32</v>
      </c>
      <c r="I13" s="3" t="str">
        <f>VLOOKUP(C13,Customer_Table[],4,FALSE)</f>
        <v>United States</v>
      </c>
      <c r="J13" s="3" t="str">
        <f t="shared" si="0"/>
        <v>MATCH</v>
      </c>
    </row>
    <row r="14" spans="1:14" x14ac:dyDescent="0.25">
      <c r="A14" s="3" t="s">
        <v>39</v>
      </c>
      <c r="B14" s="4">
        <v>45436</v>
      </c>
      <c r="C14" s="3" t="s">
        <v>40</v>
      </c>
      <c r="D14" s="3" t="s">
        <v>41</v>
      </c>
      <c r="E14" s="3">
        <v>5</v>
      </c>
      <c r="F14" s="5">
        <v>190.05</v>
      </c>
      <c r="G14" s="3" t="str">
        <f>_xlfn.XLOOKUP(Sales_Table[[#This Row],[ProductID]],Products!A:A,Products!C:C,)</f>
        <v>Home</v>
      </c>
      <c r="H14" s="8">
        <f>VLOOKUP(D14,Products_Table[],4,FALSE)</f>
        <v>38.01</v>
      </c>
      <c r="I14" s="3" t="str">
        <f>VLOOKUP(C14,Customer_Table[],4,FALSE)</f>
        <v>United Kingdom</v>
      </c>
      <c r="J14" s="3" t="str">
        <f t="shared" si="0"/>
        <v>MATCH</v>
      </c>
    </row>
    <row r="15" spans="1:14" x14ac:dyDescent="0.25">
      <c r="A15" s="3" t="s">
        <v>42</v>
      </c>
      <c r="B15" s="4">
        <v>45310</v>
      </c>
      <c r="C15" s="3" t="s">
        <v>43</v>
      </c>
      <c r="D15" s="3" t="s">
        <v>44</v>
      </c>
      <c r="E15" s="3">
        <v>1</v>
      </c>
      <c r="F15" s="5">
        <v>272.77999999999997</v>
      </c>
      <c r="G15" s="3" t="str">
        <f>_xlfn.XLOOKUP(Sales_Table[[#This Row],[ProductID]],Products!A:A,Products!C:C,)</f>
        <v>Clothing</v>
      </c>
      <c r="H15" s="8">
        <f>VLOOKUP(D15,Products_Table[],4,FALSE)</f>
        <v>272.77999999999997</v>
      </c>
      <c r="I15" s="3" t="str">
        <f>VLOOKUP(C15,Customer_Table[],4,FALSE)</f>
        <v>United States</v>
      </c>
      <c r="J15" s="3" t="str">
        <f t="shared" si="0"/>
        <v>MATCH</v>
      </c>
      <c r="M15" t="s">
        <v>571</v>
      </c>
      <c r="N15" s="10" t="s">
        <v>831</v>
      </c>
    </row>
    <row r="16" spans="1:14" x14ac:dyDescent="0.25">
      <c r="A16" s="3" t="s">
        <v>45</v>
      </c>
      <c r="B16" s="4">
        <v>45346</v>
      </c>
      <c r="C16" s="3" t="s">
        <v>46</v>
      </c>
      <c r="D16" s="3" t="s">
        <v>14</v>
      </c>
      <c r="E16" s="3">
        <v>5</v>
      </c>
      <c r="F16" s="5">
        <v>1183.45</v>
      </c>
      <c r="G16" s="3" t="str">
        <f>_xlfn.XLOOKUP(Sales_Table[[#This Row],[ProductID]],Products!A:A,Products!C:C,)</f>
        <v>Home</v>
      </c>
      <c r="H16" s="8">
        <f>VLOOKUP(D16,Products_Table[],4,FALSE)</f>
        <v>236.69</v>
      </c>
      <c r="I16" s="3" t="str">
        <f>VLOOKUP(C16,Customer_Table[],4,FALSE)</f>
        <v>United Kingdom</v>
      </c>
      <c r="J16" s="3" t="str">
        <f t="shared" si="0"/>
        <v>MATCH</v>
      </c>
      <c r="M16" t="s">
        <v>597</v>
      </c>
      <c r="N16" s="10">
        <f>SUMIFS(F:F,I:I,M16)</f>
        <v>57774.679999999978</v>
      </c>
    </row>
    <row r="17" spans="1:14" x14ac:dyDescent="0.25">
      <c r="A17" s="3" t="s">
        <v>47</v>
      </c>
      <c r="B17" s="4">
        <v>45359</v>
      </c>
      <c r="C17" s="3" t="s">
        <v>48</v>
      </c>
      <c r="D17" s="3" t="s">
        <v>49</v>
      </c>
      <c r="E17" s="3">
        <v>5</v>
      </c>
      <c r="F17" s="5">
        <v>1469</v>
      </c>
      <c r="G17" s="3" t="str">
        <f>_xlfn.XLOOKUP(Sales_Table[[#This Row],[ProductID]],Products!A:A,Products!C:C,)</f>
        <v>Electronics</v>
      </c>
      <c r="H17" s="8">
        <f>VLOOKUP(D17,Products_Table[],4,FALSE)</f>
        <v>293.8</v>
      </c>
      <c r="I17" s="3" t="str">
        <f>VLOOKUP(C17,Customer_Table[],4,FALSE)</f>
        <v>Canada</v>
      </c>
      <c r="J17" s="3" t="str">
        <f t="shared" si="0"/>
        <v>MATCH</v>
      </c>
      <c r="M17" t="s">
        <v>575</v>
      </c>
      <c r="N17" s="10">
        <f>SUMIFS(F:F,I:I,M17)</f>
        <v>51405.479999999996</v>
      </c>
    </row>
    <row r="18" spans="1:14" x14ac:dyDescent="0.25">
      <c r="A18" s="3" t="s">
        <v>50</v>
      </c>
      <c r="B18" s="4">
        <v>45381</v>
      </c>
      <c r="C18" s="3" t="s">
        <v>51</v>
      </c>
      <c r="D18" s="3" t="s">
        <v>52</v>
      </c>
      <c r="E18" s="3">
        <v>2</v>
      </c>
      <c r="F18" s="5">
        <v>171.7</v>
      </c>
      <c r="G18" s="3" t="str">
        <f>_xlfn.XLOOKUP(Sales_Table[[#This Row],[ProductID]],Products!A:A,Products!C:C,)</f>
        <v>Beauty</v>
      </c>
      <c r="H18" s="8">
        <f>VLOOKUP(D18,Products_Table[],4,FALSE)</f>
        <v>85.85</v>
      </c>
      <c r="I18" s="3" t="str">
        <f>VLOOKUP(C18,Customer_Table[],4,FALSE)</f>
        <v>United States</v>
      </c>
      <c r="J18" s="3" t="str">
        <f t="shared" si="0"/>
        <v>MATCH</v>
      </c>
      <c r="M18" t="s">
        <v>580</v>
      </c>
      <c r="N18" s="10">
        <f>SUMIFS(F:F,I:I,M18)</f>
        <v>86879.589999999982</v>
      </c>
    </row>
    <row r="19" spans="1:14" x14ac:dyDescent="0.25">
      <c r="A19" s="3" t="s">
        <v>53</v>
      </c>
      <c r="B19" s="4">
        <v>45354</v>
      </c>
      <c r="C19" s="3" t="s">
        <v>54</v>
      </c>
      <c r="D19" s="3" t="s">
        <v>55</v>
      </c>
      <c r="E19" s="3">
        <v>1</v>
      </c>
      <c r="F19" s="5">
        <v>130.65</v>
      </c>
      <c r="G19" s="3" t="str">
        <f>_xlfn.XLOOKUP(Sales_Table[[#This Row],[ProductID]],Products!A:A,Products!C:C,)</f>
        <v>Sports</v>
      </c>
      <c r="H19" s="8">
        <f>VLOOKUP(D19,Products_Table[],4,FALSE)</f>
        <v>130.65</v>
      </c>
      <c r="I19" s="3" t="str">
        <f>VLOOKUP(C19,Customer_Table[],4,FALSE)</f>
        <v>India</v>
      </c>
      <c r="J19" s="3" t="str">
        <f t="shared" si="0"/>
        <v>MATCH</v>
      </c>
      <c r="M19" t="s">
        <v>590</v>
      </c>
      <c r="N19" s="10">
        <f>SUMIFS(F:F,I:I,M19)</f>
        <v>53254.900000000009</v>
      </c>
    </row>
    <row r="20" spans="1:14" x14ac:dyDescent="0.25">
      <c r="A20" s="3" t="s">
        <v>56</v>
      </c>
      <c r="B20" s="4">
        <v>45364</v>
      </c>
      <c r="C20" s="3" t="s">
        <v>57</v>
      </c>
      <c r="D20" s="3" t="s">
        <v>38</v>
      </c>
      <c r="E20" s="3">
        <v>3</v>
      </c>
      <c r="F20" s="5">
        <v>1002.96</v>
      </c>
      <c r="G20" s="3" t="str">
        <f>_xlfn.XLOOKUP(Sales_Table[[#This Row],[ProductID]],Products!A:A,Products!C:C,)</f>
        <v>Sports</v>
      </c>
      <c r="H20" s="8">
        <f>VLOOKUP(D20,Products_Table[],4,FALSE)</f>
        <v>334.32</v>
      </c>
      <c r="I20" s="3" t="str">
        <f>VLOOKUP(C20,Customer_Table[],4,FALSE)</f>
        <v>United Kingdom</v>
      </c>
      <c r="J20" s="3" t="str">
        <f t="shared" si="0"/>
        <v>MATCH</v>
      </c>
    </row>
    <row r="21" spans="1:14" x14ac:dyDescent="0.25">
      <c r="A21" s="3" t="s">
        <v>58</v>
      </c>
      <c r="B21" s="4">
        <v>45404</v>
      </c>
      <c r="C21" s="3" t="s">
        <v>30</v>
      </c>
      <c r="D21" s="3" t="s">
        <v>8</v>
      </c>
      <c r="E21" s="3">
        <v>2</v>
      </c>
      <c r="F21" s="5">
        <v>839.3</v>
      </c>
      <c r="G21" s="3" t="str">
        <f>_xlfn.XLOOKUP(Sales_Table[[#This Row],[ProductID]],Products!A:A,Products!C:C,)</f>
        <v>Sports</v>
      </c>
      <c r="H21" s="8">
        <f>VLOOKUP(D21,Products_Table[],4,FALSE)</f>
        <v>419.65</v>
      </c>
      <c r="I21" s="3" t="str">
        <f>VLOOKUP(C21,Customer_Table[],4,FALSE)</f>
        <v>United Kingdom</v>
      </c>
      <c r="J21" s="3" t="str">
        <f t="shared" si="0"/>
        <v>MATCH</v>
      </c>
    </row>
    <row r="22" spans="1:14" x14ac:dyDescent="0.25">
      <c r="A22" s="3" t="s">
        <v>59</v>
      </c>
      <c r="B22" s="4">
        <v>45472</v>
      </c>
      <c r="C22" s="3" t="s">
        <v>30</v>
      </c>
      <c r="D22" s="3" t="s">
        <v>60</v>
      </c>
      <c r="E22" s="3">
        <v>5</v>
      </c>
      <c r="F22" s="5">
        <v>457.45</v>
      </c>
      <c r="G22" s="3" t="str">
        <f>_xlfn.XLOOKUP(Sales_Table[[#This Row],[ProductID]],Products!A:A,Products!C:C,)</f>
        <v>Clothing</v>
      </c>
      <c r="H22" s="8">
        <f>VLOOKUP(D22,Products_Table[],4,FALSE)</f>
        <v>91.49</v>
      </c>
      <c r="I22" s="3" t="str">
        <f>VLOOKUP(C22,Customer_Table[],4,FALSE)</f>
        <v>United Kingdom</v>
      </c>
      <c r="J22" s="3" t="str">
        <f t="shared" si="0"/>
        <v>MATCH</v>
      </c>
    </row>
    <row r="23" spans="1:14" x14ac:dyDescent="0.25">
      <c r="A23" s="3" t="s">
        <v>61</v>
      </c>
      <c r="B23" s="4">
        <v>45448</v>
      </c>
      <c r="C23" s="3" t="s">
        <v>62</v>
      </c>
      <c r="D23" s="3" t="s">
        <v>63</v>
      </c>
      <c r="E23" s="3">
        <v>3</v>
      </c>
      <c r="F23" s="5">
        <v>173.94</v>
      </c>
      <c r="G23" s="3" t="str">
        <f>_xlfn.XLOOKUP(Sales_Table[[#This Row],[ProductID]],Products!A:A,Products!C:C,)</f>
        <v>Sports</v>
      </c>
      <c r="H23" s="8">
        <f>VLOOKUP(D23,Products_Table[],4,FALSE)</f>
        <v>57.98</v>
      </c>
      <c r="I23" s="3" t="str">
        <f>VLOOKUP(C23,Customer_Table[],4,FALSE)</f>
        <v>Canada</v>
      </c>
      <c r="J23" s="3" t="str">
        <f t="shared" si="0"/>
        <v>MATCH</v>
      </c>
    </row>
    <row r="24" spans="1:14" x14ac:dyDescent="0.25">
      <c r="A24" s="3" t="s">
        <v>64</v>
      </c>
      <c r="B24" s="4">
        <v>45294</v>
      </c>
      <c r="C24" s="3" t="s">
        <v>65</v>
      </c>
      <c r="D24" s="3" t="s">
        <v>60</v>
      </c>
      <c r="E24" s="3">
        <v>5</v>
      </c>
      <c r="F24" s="5">
        <v>457.45</v>
      </c>
      <c r="G24" s="3" t="str">
        <f>_xlfn.XLOOKUP(Sales_Table[[#This Row],[ProductID]],Products!A:A,Products!C:C,)</f>
        <v>Clothing</v>
      </c>
      <c r="H24" s="8">
        <f>VLOOKUP(D24,Products_Table[],4,FALSE)</f>
        <v>91.49</v>
      </c>
      <c r="I24" s="3" t="str">
        <f>VLOOKUP(C24,Customer_Table[],4,FALSE)</f>
        <v>India</v>
      </c>
      <c r="J24" s="3" t="str">
        <f t="shared" si="0"/>
        <v>MATCH</v>
      </c>
    </row>
    <row r="25" spans="1:14" x14ac:dyDescent="0.25">
      <c r="A25" s="3" t="s">
        <v>66</v>
      </c>
      <c r="B25" s="4">
        <v>45368</v>
      </c>
      <c r="C25" s="3" t="s">
        <v>67</v>
      </c>
      <c r="D25" s="3" t="s">
        <v>68</v>
      </c>
      <c r="E25" s="3">
        <v>5</v>
      </c>
      <c r="F25" s="5">
        <v>2011.45</v>
      </c>
      <c r="G25" s="3" t="str">
        <f>_xlfn.XLOOKUP(Sales_Table[[#This Row],[ProductID]],Products!A:A,Products!C:C,)</f>
        <v>Home</v>
      </c>
      <c r="H25" s="8">
        <f>VLOOKUP(D25,Products_Table[],4,FALSE)</f>
        <v>402.29</v>
      </c>
      <c r="I25" s="3" t="str">
        <f>VLOOKUP(C25,Customer_Table[],4,FALSE)</f>
        <v>Canada</v>
      </c>
      <c r="J25" s="3" t="str">
        <f t="shared" si="0"/>
        <v>MATCH</v>
      </c>
    </row>
    <row r="26" spans="1:14" x14ac:dyDescent="0.25">
      <c r="A26" s="3" t="s">
        <v>69</v>
      </c>
      <c r="B26" s="4">
        <v>45326</v>
      </c>
      <c r="C26" s="3" t="s">
        <v>70</v>
      </c>
      <c r="D26" s="3" t="s">
        <v>11</v>
      </c>
      <c r="E26" s="3">
        <v>1</v>
      </c>
      <c r="F26" s="5">
        <v>39.869999999999997</v>
      </c>
      <c r="G26" s="3" t="str">
        <f>_xlfn.XLOOKUP(Sales_Table[[#This Row],[ProductID]],Products!A:A,Products!C:C,)</f>
        <v>Sports</v>
      </c>
      <c r="H26" s="8">
        <f>VLOOKUP(D26,Products_Table[],4,FALSE)</f>
        <v>39.869999999999997</v>
      </c>
      <c r="I26" s="3" t="str">
        <f>VLOOKUP(C26,Customer_Table[],4,FALSE)</f>
        <v>United States</v>
      </c>
      <c r="J26" s="3" t="str">
        <f t="shared" si="0"/>
        <v>MATCH</v>
      </c>
    </row>
    <row r="27" spans="1:14" x14ac:dyDescent="0.25">
      <c r="A27" s="3" t="s">
        <v>71</v>
      </c>
      <c r="B27" s="4">
        <v>45321</v>
      </c>
      <c r="C27" s="3" t="s">
        <v>34</v>
      </c>
      <c r="D27" s="3" t="s">
        <v>72</v>
      </c>
      <c r="E27" s="3">
        <v>3</v>
      </c>
      <c r="F27" s="5">
        <v>650.16</v>
      </c>
      <c r="G27" s="3" t="str">
        <f>_xlfn.XLOOKUP(Sales_Table[[#This Row],[ProductID]],Products!A:A,Products!C:C,)</f>
        <v>Clothing</v>
      </c>
      <c r="H27" s="8">
        <f>VLOOKUP(D27,Products_Table[],4,FALSE)</f>
        <v>216.72</v>
      </c>
      <c r="I27" s="3" t="str">
        <f>VLOOKUP(C27,Customer_Table[],4,FALSE)</f>
        <v>United States</v>
      </c>
      <c r="J27" s="3" t="str">
        <f t="shared" si="0"/>
        <v>MATCH</v>
      </c>
    </row>
    <row r="28" spans="1:14" x14ac:dyDescent="0.25">
      <c r="A28" s="3" t="s">
        <v>73</v>
      </c>
      <c r="B28" s="4">
        <v>45433</v>
      </c>
      <c r="C28" s="3" t="s">
        <v>74</v>
      </c>
      <c r="D28" s="3" t="s">
        <v>8</v>
      </c>
      <c r="E28" s="3">
        <v>1</v>
      </c>
      <c r="F28" s="5">
        <v>419.65</v>
      </c>
      <c r="G28" s="3" t="str">
        <f>_xlfn.XLOOKUP(Sales_Table[[#This Row],[ProductID]],Products!A:A,Products!C:C,)</f>
        <v>Sports</v>
      </c>
      <c r="H28" s="8">
        <f>VLOOKUP(D28,Products_Table[],4,FALSE)</f>
        <v>419.65</v>
      </c>
      <c r="I28" s="3" t="str">
        <f>VLOOKUP(C28,Customer_Table[],4,FALSE)</f>
        <v>India</v>
      </c>
      <c r="J28" s="3" t="str">
        <f t="shared" si="0"/>
        <v>MATCH</v>
      </c>
    </row>
    <row r="29" spans="1:14" x14ac:dyDescent="0.25">
      <c r="A29" s="3" t="s">
        <v>75</v>
      </c>
      <c r="B29" s="4">
        <v>45361</v>
      </c>
      <c r="C29" s="3" t="s">
        <v>76</v>
      </c>
      <c r="D29" s="3" t="s">
        <v>11</v>
      </c>
      <c r="E29" s="3">
        <v>2</v>
      </c>
      <c r="F29" s="5">
        <v>79.739999999999995</v>
      </c>
      <c r="G29" s="3" t="str">
        <f>_xlfn.XLOOKUP(Sales_Table[[#This Row],[ProductID]],Products!A:A,Products!C:C,)</f>
        <v>Sports</v>
      </c>
      <c r="H29" s="8">
        <f>VLOOKUP(D29,Products_Table[],4,FALSE)</f>
        <v>39.869999999999997</v>
      </c>
      <c r="I29" s="3" t="str">
        <f>VLOOKUP(C29,Customer_Table[],4,FALSE)</f>
        <v>United Kingdom</v>
      </c>
      <c r="J29" s="3" t="str">
        <f t="shared" si="0"/>
        <v>MATCH</v>
      </c>
    </row>
    <row r="30" spans="1:14" x14ac:dyDescent="0.25">
      <c r="A30" s="3" t="s">
        <v>77</v>
      </c>
      <c r="B30" s="4">
        <v>45446</v>
      </c>
      <c r="C30" s="3" t="s">
        <v>78</v>
      </c>
      <c r="D30" s="3" t="s">
        <v>23</v>
      </c>
      <c r="E30" s="3">
        <v>3</v>
      </c>
      <c r="F30" s="5">
        <v>309.89999999999998</v>
      </c>
      <c r="G30" s="3" t="str">
        <f>_xlfn.XLOOKUP(Sales_Table[[#This Row],[ProductID]],Products!A:A,Products!C:C,)</f>
        <v>Beauty</v>
      </c>
      <c r="H30" s="8">
        <f>VLOOKUP(D30,Products_Table[],4,FALSE)</f>
        <v>103.3</v>
      </c>
      <c r="I30" s="3" t="str">
        <f>VLOOKUP(C30,Customer_Table[],4,FALSE)</f>
        <v>United States</v>
      </c>
      <c r="J30" s="3" t="str">
        <f t="shared" si="0"/>
        <v>MATCH</v>
      </c>
    </row>
    <row r="31" spans="1:14" x14ac:dyDescent="0.25">
      <c r="A31" s="3" t="s">
        <v>79</v>
      </c>
      <c r="B31" s="4">
        <v>45379</v>
      </c>
      <c r="C31" s="3" t="s">
        <v>80</v>
      </c>
      <c r="D31" s="3" t="s">
        <v>81</v>
      </c>
      <c r="E31" s="3">
        <v>2</v>
      </c>
      <c r="F31" s="5">
        <v>866.56</v>
      </c>
      <c r="G31" s="3" t="str">
        <f>_xlfn.XLOOKUP(Sales_Table[[#This Row],[ProductID]],Products!A:A,Products!C:C,)</f>
        <v>Beauty</v>
      </c>
      <c r="H31" s="8">
        <f>VLOOKUP(D31,Products_Table[],4,FALSE)</f>
        <v>433.28</v>
      </c>
      <c r="I31" s="3" t="str">
        <f>VLOOKUP(C31,Customer_Table[],4,FALSE)</f>
        <v>United Kingdom</v>
      </c>
      <c r="J31" s="3" t="str">
        <f t="shared" si="0"/>
        <v>MATCH</v>
      </c>
    </row>
    <row r="32" spans="1:14" x14ac:dyDescent="0.25">
      <c r="A32" s="3" t="s">
        <v>82</v>
      </c>
      <c r="B32" s="4">
        <v>45467</v>
      </c>
      <c r="C32" s="3" t="s">
        <v>83</v>
      </c>
      <c r="D32" s="3" t="s">
        <v>63</v>
      </c>
      <c r="E32" s="3">
        <v>2</v>
      </c>
      <c r="F32" s="5">
        <v>115.96</v>
      </c>
      <c r="G32" s="3" t="str">
        <f>_xlfn.XLOOKUP(Sales_Table[[#This Row],[ProductID]],Products!A:A,Products!C:C,)</f>
        <v>Sports</v>
      </c>
      <c r="H32" s="8">
        <f>VLOOKUP(D32,Products_Table[],4,FALSE)</f>
        <v>57.98</v>
      </c>
      <c r="I32" s="3" t="str">
        <f>VLOOKUP(C32,Customer_Table[],4,FALSE)</f>
        <v>United Kingdom</v>
      </c>
      <c r="J32" s="3" t="str">
        <f t="shared" si="0"/>
        <v>MATCH</v>
      </c>
    </row>
    <row r="33" spans="1:10" x14ac:dyDescent="0.25">
      <c r="A33" s="3" t="s">
        <v>84</v>
      </c>
      <c r="B33" s="4">
        <v>45421</v>
      </c>
      <c r="C33" s="3" t="s">
        <v>85</v>
      </c>
      <c r="D33" s="3" t="s">
        <v>60</v>
      </c>
      <c r="E33" s="3">
        <v>3</v>
      </c>
      <c r="F33" s="5">
        <v>274.47000000000003</v>
      </c>
      <c r="G33" s="3" t="str">
        <f>_xlfn.XLOOKUP(Sales_Table[[#This Row],[ProductID]],Products!A:A,Products!C:C,)</f>
        <v>Clothing</v>
      </c>
      <c r="H33" s="8">
        <f>VLOOKUP(D33,Products_Table[],4,FALSE)</f>
        <v>91.49</v>
      </c>
      <c r="I33" s="3" t="str">
        <f>VLOOKUP(C33,Customer_Table[],4,FALSE)</f>
        <v>United Kingdom</v>
      </c>
      <c r="J33" s="3" t="str">
        <f t="shared" si="0"/>
        <v>MATCH</v>
      </c>
    </row>
    <row r="34" spans="1:10" x14ac:dyDescent="0.25">
      <c r="A34" s="3" t="s">
        <v>86</v>
      </c>
      <c r="B34" s="4">
        <v>45356</v>
      </c>
      <c r="C34" s="3" t="s">
        <v>87</v>
      </c>
      <c r="D34" s="3" t="s">
        <v>41</v>
      </c>
      <c r="E34" s="3">
        <v>4</v>
      </c>
      <c r="F34" s="5">
        <v>152.04</v>
      </c>
      <c r="G34" s="3" t="str">
        <f>_xlfn.XLOOKUP(Sales_Table[[#This Row],[ProductID]],Products!A:A,Products!C:C,)</f>
        <v>Home</v>
      </c>
      <c r="H34" s="8">
        <f>VLOOKUP(D34,Products_Table[],4,FALSE)</f>
        <v>38.01</v>
      </c>
      <c r="I34" s="3" t="str">
        <f>VLOOKUP(C34,Customer_Table[],4,FALSE)</f>
        <v>United Kingdom</v>
      </c>
      <c r="J34" s="3" t="str">
        <f t="shared" si="0"/>
        <v>MATCH</v>
      </c>
    </row>
    <row r="35" spans="1:10" x14ac:dyDescent="0.25">
      <c r="A35" s="3" t="s">
        <v>88</v>
      </c>
      <c r="B35" s="4">
        <v>45315</v>
      </c>
      <c r="C35" s="3" t="s">
        <v>89</v>
      </c>
      <c r="D35" s="3" t="s">
        <v>38</v>
      </c>
      <c r="E35" s="3">
        <v>1</v>
      </c>
      <c r="F35" s="5">
        <v>334.32</v>
      </c>
      <c r="G35" s="3" t="str">
        <f>_xlfn.XLOOKUP(Sales_Table[[#This Row],[ProductID]],Products!A:A,Products!C:C,)</f>
        <v>Sports</v>
      </c>
      <c r="H35" s="8">
        <f>VLOOKUP(D35,Products_Table[],4,FALSE)</f>
        <v>334.32</v>
      </c>
      <c r="I35" s="3" t="str">
        <f>VLOOKUP(C35,Customer_Table[],4,FALSE)</f>
        <v>United Kingdom</v>
      </c>
      <c r="J35" s="3" t="str">
        <f t="shared" si="0"/>
        <v>MATCH</v>
      </c>
    </row>
    <row r="36" spans="1:10" x14ac:dyDescent="0.25">
      <c r="A36" s="3" t="s">
        <v>90</v>
      </c>
      <c r="B36" s="4">
        <v>45362</v>
      </c>
      <c r="C36" s="3" t="s">
        <v>91</v>
      </c>
      <c r="D36" s="3" t="s">
        <v>35</v>
      </c>
      <c r="E36" s="3">
        <v>4</v>
      </c>
      <c r="F36" s="5">
        <v>1169.3599999999999</v>
      </c>
      <c r="G36" s="3" t="str">
        <f>_xlfn.XLOOKUP(Sales_Table[[#This Row],[ProductID]],Products!A:A,Products!C:C,)</f>
        <v>Sports</v>
      </c>
      <c r="H36" s="8">
        <f>VLOOKUP(D36,Products_Table[],4,FALSE)</f>
        <v>292.33999999999997</v>
      </c>
      <c r="I36" s="3" t="str">
        <f>VLOOKUP(C36,Customer_Table[],4,FALSE)</f>
        <v>Canada</v>
      </c>
      <c r="J36" s="3" t="str">
        <f t="shared" si="0"/>
        <v>MATCH</v>
      </c>
    </row>
    <row r="37" spans="1:10" x14ac:dyDescent="0.25">
      <c r="A37" s="3" t="s">
        <v>92</v>
      </c>
      <c r="B37" s="4">
        <v>45292</v>
      </c>
      <c r="C37" s="3" t="s">
        <v>93</v>
      </c>
      <c r="D37" s="3" t="s">
        <v>52</v>
      </c>
      <c r="E37" s="3">
        <v>1</v>
      </c>
      <c r="F37" s="5">
        <v>85.85</v>
      </c>
      <c r="G37" s="3" t="str">
        <f>_xlfn.XLOOKUP(Sales_Table[[#This Row],[ProductID]],Products!A:A,Products!C:C,)</f>
        <v>Beauty</v>
      </c>
      <c r="H37" s="8">
        <f>VLOOKUP(D37,Products_Table[],4,FALSE)</f>
        <v>85.85</v>
      </c>
      <c r="I37" s="3" t="str">
        <f>VLOOKUP(C37,Customer_Table[],4,FALSE)</f>
        <v>United States</v>
      </c>
      <c r="J37" s="3" t="str">
        <f t="shared" si="0"/>
        <v>MATCH</v>
      </c>
    </row>
    <row r="38" spans="1:10" x14ac:dyDescent="0.25">
      <c r="A38" s="3" t="s">
        <v>94</v>
      </c>
      <c r="B38" s="4">
        <v>45325</v>
      </c>
      <c r="C38" s="3" t="s">
        <v>95</v>
      </c>
      <c r="D38" s="3" t="s">
        <v>68</v>
      </c>
      <c r="E38" s="3">
        <v>3</v>
      </c>
      <c r="F38" s="5">
        <v>1206.8699999999999</v>
      </c>
      <c r="G38" s="3" t="str">
        <f>_xlfn.XLOOKUP(Sales_Table[[#This Row],[ProductID]],Products!A:A,Products!C:C,)</f>
        <v>Home</v>
      </c>
      <c r="H38" s="8">
        <f>VLOOKUP(D38,Products_Table[],4,FALSE)</f>
        <v>402.29</v>
      </c>
      <c r="I38" s="3" t="str">
        <f>VLOOKUP(C38,Customer_Table[],4,FALSE)</f>
        <v>United Kingdom</v>
      </c>
      <c r="J38" s="3" t="str">
        <f t="shared" si="0"/>
        <v>MATCH</v>
      </c>
    </row>
    <row r="39" spans="1:10" x14ac:dyDescent="0.25">
      <c r="A39" s="3" t="s">
        <v>96</v>
      </c>
      <c r="B39" s="4">
        <v>45333</v>
      </c>
      <c r="C39" s="3" t="s">
        <v>97</v>
      </c>
      <c r="D39" s="3" t="s">
        <v>98</v>
      </c>
      <c r="E39" s="3">
        <v>3</v>
      </c>
      <c r="F39" s="5">
        <v>395.52</v>
      </c>
      <c r="G39" s="3" t="str">
        <f>_xlfn.XLOOKUP(Sales_Table[[#This Row],[ProductID]],Products!A:A,Products!C:C,)</f>
        <v>Electronics</v>
      </c>
      <c r="H39" s="8">
        <f>VLOOKUP(D39,Products_Table[],4,FALSE)</f>
        <v>131.84</v>
      </c>
      <c r="I39" s="3" t="str">
        <f>VLOOKUP(C39,Customer_Table[],4,FALSE)</f>
        <v>United States</v>
      </c>
      <c r="J39" s="3" t="str">
        <f t="shared" si="0"/>
        <v>MATCH</v>
      </c>
    </row>
    <row r="40" spans="1:10" x14ac:dyDescent="0.25">
      <c r="A40" s="3" t="s">
        <v>99</v>
      </c>
      <c r="B40" s="4">
        <v>45433</v>
      </c>
      <c r="C40" s="3" t="s">
        <v>57</v>
      </c>
      <c r="D40" s="3" t="s">
        <v>23</v>
      </c>
      <c r="E40" s="3">
        <v>4</v>
      </c>
      <c r="F40" s="5">
        <v>413.2</v>
      </c>
      <c r="G40" s="3" t="str">
        <f>_xlfn.XLOOKUP(Sales_Table[[#This Row],[ProductID]],Products!A:A,Products!C:C,)</f>
        <v>Beauty</v>
      </c>
      <c r="H40" s="8">
        <f>VLOOKUP(D40,Products_Table[],4,FALSE)</f>
        <v>103.3</v>
      </c>
      <c r="I40" s="3" t="str">
        <f>VLOOKUP(C40,Customer_Table[],4,FALSE)</f>
        <v>United Kingdom</v>
      </c>
      <c r="J40" s="3" t="str">
        <f t="shared" si="0"/>
        <v>MATCH</v>
      </c>
    </row>
    <row r="41" spans="1:10" x14ac:dyDescent="0.25">
      <c r="A41" s="3" t="s">
        <v>100</v>
      </c>
      <c r="B41" s="4">
        <v>45435</v>
      </c>
      <c r="C41" s="3" t="s">
        <v>101</v>
      </c>
      <c r="D41" s="3" t="s">
        <v>52</v>
      </c>
      <c r="E41" s="3">
        <v>4</v>
      </c>
      <c r="F41" s="5">
        <v>343.4</v>
      </c>
      <c r="G41" s="3" t="str">
        <f>_xlfn.XLOOKUP(Sales_Table[[#This Row],[ProductID]],Products!A:A,Products!C:C,)</f>
        <v>Beauty</v>
      </c>
      <c r="H41" s="8">
        <f>VLOOKUP(D41,Products_Table[],4,FALSE)</f>
        <v>85.85</v>
      </c>
      <c r="I41" s="3" t="str">
        <f>VLOOKUP(C41,Customer_Table[],4,FALSE)</f>
        <v>United States</v>
      </c>
      <c r="J41" s="3" t="str">
        <f t="shared" si="0"/>
        <v>MATCH</v>
      </c>
    </row>
    <row r="42" spans="1:10" x14ac:dyDescent="0.25">
      <c r="A42" s="3" t="s">
        <v>102</v>
      </c>
      <c r="B42" s="4">
        <v>45320</v>
      </c>
      <c r="C42" s="3" t="s">
        <v>80</v>
      </c>
      <c r="D42" s="3" t="s">
        <v>103</v>
      </c>
      <c r="E42" s="3">
        <v>1</v>
      </c>
      <c r="F42" s="5">
        <v>139.94999999999999</v>
      </c>
      <c r="G42" s="3" t="str">
        <f>_xlfn.XLOOKUP(Sales_Table[[#This Row],[ProductID]],Products!A:A,Products!C:C,)</f>
        <v>Beauty</v>
      </c>
      <c r="H42" s="8">
        <f>VLOOKUP(D42,Products_Table[],4,FALSE)</f>
        <v>139.94999999999999</v>
      </c>
      <c r="I42" s="3" t="str">
        <f>VLOOKUP(C42,Customer_Table[],4,FALSE)</f>
        <v>United Kingdom</v>
      </c>
      <c r="J42" s="3" t="str">
        <f t="shared" si="0"/>
        <v>MATCH</v>
      </c>
    </row>
    <row r="43" spans="1:10" x14ac:dyDescent="0.25">
      <c r="A43" s="3" t="s">
        <v>104</v>
      </c>
      <c r="B43" s="4">
        <v>45468</v>
      </c>
      <c r="C43" s="3" t="s">
        <v>105</v>
      </c>
      <c r="D43" s="3" t="s">
        <v>14</v>
      </c>
      <c r="E43" s="3">
        <v>1</v>
      </c>
      <c r="F43" s="5">
        <v>236.69</v>
      </c>
      <c r="G43" s="3" t="str">
        <f>_xlfn.XLOOKUP(Sales_Table[[#This Row],[ProductID]],Products!A:A,Products!C:C,)</f>
        <v>Home</v>
      </c>
      <c r="H43" s="8">
        <f>VLOOKUP(D43,Products_Table[],4,FALSE)</f>
        <v>236.69</v>
      </c>
      <c r="I43" s="3" t="str">
        <f>VLOOKUP(C43,Customer_Table[],4,FALSE)</f>
        <v>United Kingdom</v>
      </c>
      <c r="J43" s="3" t="str">
        <f t="shared" si="0"/>
        <v>MATCH</v>
      </c>
    </row>
    <row r="44" spans="1:10" x14ac:dyDescent="0.25">
      <c r="A44" s="3" t="s">
        <v>106</v>
      </c>
      <c r="B44" s="4">
        <v>45431</v>
      </c>
      <c r="C44" s="3" t="s">
        <v>107</v>
      </c>
      <c r="D44" s="3" t="s">
        <v>108</v>
      </c>
      <c r="E44" s="3">
        <v>2</v>
      </c>
      <c r="F44" s="5">
        <v>98.5</v>
      </c>
      <c r="G44" s="3" t="str">
        <f>_xlfn.XLOOKUP(Sales_Table[[#This Row],[ProductID]],Products!A:A,Products!C:C,)</f>
        <v>Sports</v>
      </c>
      <c r="H44" s="8">
        <f>VLOOKUP(D44,Products_Table[],4,FALSE)</f>
        <v>49.25</v>
      </c>
      <c r="I44" s="3" t="str">
        <f>VLOOKUP(C44,Customer_Table[],4,FALSE)</f>
        <v>India</v>
      </c>
      <c r="J44" s="3" t="str">
        <f t="shared" si="0"/>
        <v>MATCH</v>
      </c>
    </row>
    <row r="45" spans="1:10" x14ac:dyDescent="0.25">
      <c r="A45" s="3" t="s">
        <v>109</v>
      </c>
      <c r="B45" s="4">
        <v>45386</v>
      </c>
      <c r="C45" s="3" t="s">
        <v>57</v>
      </c>
      <c r="D45" s="3" t="s">
        <v>38</v>
      </c>
      <c r="E45" s="3">
        <v>1</v>
      </c>
      <c r="F45" s="5">
        <v>334.32</v>
      </c>
      <c r="G45" s="3" t="str">
        <f>_xlfn.XLOOKUP(Sales_Table[[#This Row],[ProductID]],Products!A:A,Products!C:C,)</f>
        <v>Sports</v>
      </c>
      <c r="H45" s="8">
        <f>VLOOKUP(D45,Products_Table[],4,FALSE)</f>
        <v>334.32</v>
      </c>
      <c r="I45" s="3" t="str">
        <f>VLOOKUP(C45,Customer_Table[],4,FALSE)</f>
        <v>United Kingdom</v>
      </c>
      <c r="J45" s="3" t="str">
        <f t="shared" si="0"/>
        <v>MATCH</v>
      </c>
    </row>
    <row r="46" spans="1:10" x14ac:dyDescent="0.25">
      <c r="A46" s="3" t="s">
        <v>110</v>
      </c>
      <c r="B46" s="4">
        <v>45433</v>
      </c>
      <c r="C46" s="3" t="s">
        <v>111</v>
      </c>
      <c r="D46" s="3" t="s">
        <v>44</v>
      </c>
      <c r="E46" s="3">
        <v>5</v>
      </c>
      <c r="F46" s="5">
        <v>1363.9</v>
      </c>
      <c r="G46" s="3" t="str">
        <f>_xlfn.XLOOKUP(Sales_Table[[#This Row],[ProductID]],Products!A:A,Products!C:C,)</f>
        <v>Clothing</v>
      </c>
      <c r="H46" s="8">
        <f>VLOOKUP(D46,Products_Table[],4,FALSE)</f>
        <v>272.77999999999997</v>
      </c>
      <c r="I46" s="3" t="str">
        <f>VLOOKUP(C46,Customer_Table[],4,FALSE)</f>
        <v>United Kingdom</v>
      </c>
      <c r="J46" s="3" t="str">
        <f t="shared" si="0"/>
        <v>MATCH</v>
      </c>
    </row>
    <row r="47" spans="1:10" x14ac:dyDescent="0.25">
      <c r="A47" s="3" t="s">
        <v>112</v>
      </c>
      <c r="B47" s="4">
        <v>45402</v>
      </c>
      <c r="C47" s="3" t="s">
        <v>113</v>
      </c>
      <c r="D47" s="3" t="s">
        <v>114</v>
      </c>
      <c r="E47" s="3">
        <v>2</v>
      </c>
      <c r="F47" s="5">
        <v>454.26</v>
      </c>
      <c r="G47" s="3" t="str">
        <f>_xlfn.XLOOKUP(Sales_Table[[#This Row],[ProductID]],Products!A:A,Products!C:C,)</f>
        <v>Electronics</v>
      </c>
      <c r="H47" s="8">
        <f>VLOOKUP(D47,Products_Table[],4,FALSE)</f>
        <v>227.13</v>
      </c>
      <c r="I47" s="3" t="str">
        <f>VLOOKUP(C47,Customer_Table[],4,FALSE)</f>
        <v>India</v>
      </c>
      <c r="J47" s="3" t="str">
        <f t="shared" si="0"/>
        <v>MATCH</v>
      </c>
    </row>
    <row r="48" spans="1:10" x14ac:dyDescent="0.25">
      <c r="A48" s="3" t="s">
        <v>115</v>
      </c>
      <c r="B48" s="4">
        <v>45302</v>
      </c>
      <c r="C48" s="3" t="s">
        <v>116</v>
      </c>
      <c r="D48" s="3" t="s">
        <v>35</v>
      </c>
      <c r="E48" s="3">
        <v>2</v>
      </c>
      <c r="F48" s="5">
        <v>584.67999999999995</v>
      </c>
      <c r="G48" s="3" t="str">
        <f>_xlfn.XLOOKUP(Sales_Table[[#This Row],[ProductID]],Products!A:A,Products!C:C,)</f>
        <v>Sports</v>
      </c>
      <c r="H48" s="8">
        <f>VLOOKUP(D48,Products_Table[],4,FALSE)</f>
        <v>292.33999999999997</v>
      </c>
      <c r="I48" s="3" t="str">
        <f>VLOOKUP(C48,Customer_Table[],4,FALSE)</f>
        <v>United Kingdom</v>
      </c>
      <c r="J48" s="3" t="str">
        <f t="shared" si="0"/>
        <v>MATCH</v>
      </c>
    </row>
    <row r="49" spans="1:10" x14ac:dyDescent="0.25">
      <c r="A49" s="3" t="s">
        <v>117</v>
      </c>
      <c r="B49" s="4">
        <v>45385</v>
      </c>
      <c r="C49" s="3" t="s">
        <v>74</v>
      </c>
      <c r="D49" s="3" t="s">
        <v>60</v>
      </c>
      <c r="E49" s="3">
        <v>3</v>
      </c>
      <c r="F49" s="5">
        <v>274.47000000000003</v>
      </c>
      <c r="G49" s="3" t="str">
        <f>_xlfn.XLOOKUP(Sales_Table[[#This Row],[ProductID]],Products!A:A,Products!C:C,)</f>
        <v>Clothing</v>
      </c>
      <c r="H49" s="8">
        <f>VLOOKUP(D49,Products_Table[],4,FALSE)</f>
        <v>91.49</v>
      </c>
      <c r="I49" s="3" t="str">
        <f>VLOOKUP(C49,Customer_Table[],4,FALSE)</f>
        <v>India</v>
      </c>
      <c r="J49" s="3" t="str">
        <f t="shared" si="0"/>
        <v>MATCH</v>
      </c>
    </row>
    <row r="50" spans="1:10" x14ac:dyDescent="0.25">
      <c r="A50" s="3" t="s">
        <v>118</v>
      </c>
      <c r="B50" s="4">
        <v>45383</v>
      </c>
      <c r="C50" s="3" t="s">
        <v>13</v>
      </c>
      <c r="D50" s="3" t="s">
        <v>28</v>
      </c>
      <c r="E50" s="3">
        <v>1</v>
      </c>
      <c r="F50" s="5">
        <v>452.2</v>
      </c>
      <c r="G50" s="3" t="str">
        <f>_xlfn.XLOOKUP(Sales_Table[[#This Row],[ProductID]],Products!A:A,Products!C:C,)</f>
        <v>Beauty</v>
      </c>
      <c r="H50" s="8">
        <f>VLOOKUP(D50,Products_Table[],4,FALSE)</f>
        <v>452.2</v>
      </c>
      <c r="I50" s="3" t="str">
        <f>VLOOKUP(C50,Customer_Table[],4,FALSE)</f>
        <v>Canada</v>
      </c>
      <c r="J50" s="3" t="str">
        <f t="shared" si="0"/>
        <v>MATCH</v>
      </c>
    </row>
    <row r="51" spans="1:10" x14ac:dyDescent="0.25">
      <c r="A51" s="3" t="s">
        <v>119</v>
      </c>
      <c r="B51" s="4">
        <v>45466</v>
      </c>
      <c r="C51" s="3" t="s">
        <v>120</v>
      </c>
      <c r="D51" s="3" t="s">
        <v>49</v>
      </c>
      <c r="E51" s="3">
        <v>2</v>
      </c>
      <c r="F51" s="5">
        <v>587.6</v>
      </c>
      <c r="G51" s="3" t="str">
        <f>_xlfn.XLOOKUP(Sales_Table[[#This Row],[ProductID]],Products!A:A,Products!C:C,)</f>
        <v>Electronics</v>
      </c>
      <c r="H51" s="8">
        <f>VLOOKUP(D51,Products_Table[],4,FALSE)</f>
        <v>293.8</v>
      </c>
      <c r="I51" s="3" t="str">
        <f>VLOOKUP(C51,Customer_Table[],4,FALSE)</f>
        <v>United Kingdom</v>
      </c>
      <c r="J51" s="3" t="str">
        <f t="shared" si="0"/>
        <v>MATCH</v>
      </c>
    </row>
    <row r="52" spans="1:10" x14ac:dyDescent="0.25">
      <c r="A52" s="3" t="s">
        <v>121</v>
      </c>
      <c r="B52" s="4">
        <v>45462</v>
      </c>
      <c r="C52" s="3" t="s">
        <v>25</v>
      </c>
      <c r="D52" s="3" t="s">
        <v>122</v>
      </c>
      <c r="E52" s="3">
        <v>2</v>
      </c>
      <c r="F52" s="5">
        <v>174.28</v>
      </c>
      <c r="G52" s="3" t="str">
        <f>_xlfn.XLOOKUP(Sales_Table[[#This Row],[ProductID]],Products!A:A,Products!C:C,)</f>
        <v>Sports</v>
      </c>
      <c r="H52" s="8">
        <f>VLOOKUP(D52,Products_Table[],4,FALSE)</f>
        <v>87.14</v>
      </c>
      <c r="I52" s="3" t="str">
        <f>VLOOKUP(C52,Customer_Table[],4,FALSE)</f>
        <v>United Kingdom</v>
      </c>
      <c r="J52" s="3" t="str">
        <f t="shared" si="0"/>
        <v>MATCH</v>
      </c>
    </row>
    <row r="53" spans="1:10" x14ac:dyDescent="0.25">
      <c r="A53" s="3" t="s">
        <v>123</v>
      </c>
      <c r="B53" s="4">
        <v>45382</v>
      </c>
      <c r="C53" s="3" t="s">
        <v>25</v>
      </c>
      <c r="D53" s="3" t="s">
        <v>124</v>
      </c>
      <c r="E53" s="3">
        <v>1</v>
      </c>
      <c r="F53" s="5">
        <v>39.700000000000003</v>
      </c>
      <c r="G53" s="3" t="str">
        <f>_xlfn.XLOOKUP(Sales_Table[[#This Row],[ProductID]],Products!A:A,Products!C:C,)</f>
        <v>Electronics</v>
      </c>
      <c r="H53" s="8">
        <f>VLOOKUP(D53,Products_Table[],4,FALSE)</f>
        <v>39.700000000000003</v>
      </c>
      <c r="I53" s="3" t="str">
        <f>VLOOKUP(C53,Customer_Table[],4,FALSE)</f>
        <v>United Kingdom</v>
      </c>
      <c r="J53" s="3" t="str">
        <f t="shared" si="0"/>
        <v>MATCH</v>
      </c>
    </row>
    <row r="54" spans="1:10" x14ac:dyDescent="0.25">
      <c r="A54" s="3" t="s">
        <v>125</v>
      </c>
      <c r="B54" s="4">
        <v>45396</v>
      </c>
      <c r="C54" s="3" t="s">
        <v>126</v>
      </c>
      <c r="D54" s="3" t="s">
        <v>81</v>
      </c>
      <c r="E54" s="3">
        <v>5</v>
      </c>
      <c r="F54" s="5">
        <v>2166.4</v>
      </c>
      <c r="G54" s="3" t="str">
        <f>_xlfn.XLOOKUP(Sales_Table[[#This Row],[ProductID]],Products!A:A,Products!C:C,)</f>
        <v>Beauty</v>
      </c>
      <c r="H54" s="8">
        <f>VLOOKUP(D54,Products_Table[],4,FALSE)</f>
        <v>433.28</v>
      </c>
      <c r="I54" s="3" t="str">
        <f>VLOOKUP(C54,Customer_Table[],4,FALSE)</f>
        <v>India</v>
      </c>
      <c r="J54" s="3" t="str">
        <f t="shared" si="0"/>
        <v>MATCH</v>
      </c>
    </row>
    <row r="55" spans="1:10" x14ac:dyDescent="0.25">
      <c r="A55" s="3" t="s">
        <v>127</v>
      </c>
      <c r="B55" s="4">
        <v>45331</v>
      </c>
      <c r="C55" s="3" t="s">
        <v>128</v>
      </c>
      <c r="D55" s="3" t="s">
        <v>129</v>
      </c>
      <c r="E55" s="3">
        <v>5</v>
      </c>
      <c r="F55" s="5">
        <v>583.35</v>
      </c>
      <c r="G55" s="3" t="str">
        <f>_xlfn.XLOOKUP(Sales_Table[[#This Row],[ProductID]],Products!A:A,Products!C:C,)</f>
        <v>Home</v>
      </c>
      <c r="H55" s="8">
        <f>VLOOKUP(D55,Products_Table[],4,FALSE)</f>
        <v>116.67</v>
      </c>
      <c r="I55" s="3" t="str">
        <f>VLOOKUP(C55,Customer_Table[],4,FALSE)</f>
        <v>Canada</v>
      </c>
      <c r="J55" s="3" t="str">
        <f t="shared" si="0"/>
        <v>MATCH</v>
      </c>
    </row>
    <row r="56" spans="1:10" x14ac:dyDescent="0.25">
      <c r="A56" s="3" t="s">
        <v>130</v>
      </c>
      <c r="B56" s="4">
        <v>45333</v>
      </c>
      <c r="C56" s="3" t="s">
        <v>131</v>
      </c>
      <c r="D56" s="3" t="s">
        <v>132</v>
      </c>
      <c r="E56" s="3">
        <v>2</v>
      </c>
      <c r="F56" s="5">
        <v>675.6</v>
      </c>
      <c r="G56" s="3" t="str">
        <f>_xlfn.XLOOKUP(Sales_Table[[#This Row],[ProductID]],Products!A:A,Products!C:C,)</f>
        <v>Home</v>
      </c>
      <c r="H56" s="8">
        <f>VLOOKUP(D56,Products_Table[],4,FALSE)</f>
        <v>337.8</v>
      </c>
      <c r="I56" s="3" t="str">
        <f>VLOOKUP(C56,Customer_Table[],4,FALSE)</f>
        <v>Canada</v>
      </c>
      <c r="J56" s="3" t="str">
        <f t="shared" si="0"/>
        <v>MATCH</v>
      </c>
    </row>
    <row r="57" spans="1:10" x14ac:dyDescent="0.25">
      <c r="A57" s="3" t="s">
        <v>133</v>
      </c>
      <c r="B57" s="4">
        <v>45397</v>
      </c>
      <c r="C57" s="3" t="s">
        <v>37</v>
      </c>
      <c r="D57" s="3" t="s">
        <v>26</v>
      </c>
      <c r="E57" s="3">
        <v>2</v>
      </c>
      <c r="F57" s="5">
        <v>299.54000000000002</v>
      </c>
      <c r="G57" s="3" t="str">
        <f>_xlfn.XLOOKUP(Sales_Table[[#This Row],[ProductID]],Products!A:A,Products!C:C,)</f>
        <v>Beauty</v>
      </c>
      <c r="H57" s="8">
        <f>VLOOKUP(D57,Products_Table[],4,FALSE)</f>
        <v>149.77000000000001</v>
      </c>
      <c r="I57" s="3" t="str">
        <f>VLOOKUP(C57,Customer_Table[],4,FALSE)</f>
        <v>United States</v>
      </c>
      <c r="J57" s="3" t="str">
        <f t="shared" si="0"/>
        <v>MATCH</v>
      </c>
    </row>
    <row r="58" spans="1:10" x14ac:dyDescent="0.25">
      <c r="A58" s="3" t="s">
        <v>134</v>
      </c>
      <c r="B58" s="4">
        <v>45337</v>
      </c>
      <c r="C58" s="3" t="s">
        <v>135</v>
      </c>
      <c r="D58" s="3" t="s">
        <v>136</v>
      </c>
      <c r="E58" s="3">
        <v>1</v>
      </c>
      <c r="F58" s="5">
        <v>431.22</v>
      </c>
      <c r="G58" s="3" t="str">
        <f>_xlfn.XLOOKUP(Sales_Table[[#This Row],[ProductID]],Products!A:A,Products!C:C,)</f>
        <v>Electronics</v>
      </c>
      <c r="H58" s="8">
        <f>VLOOKUP(D58,Products_Table[],4,FALSE)</f>
        <v>431.22</v>
      </c>
      <c r="I58" s="3" t="str">
        <f>VLOOKUP(C58,Customer_Table[],4,FALSE)</f>
        <v>India</v>
      </c>
      <c r="J58" s="3" t="str">
        <f t="shared" si="0"/>
        <v>MATCH</v>
      </c>
    </row>
    <row r="59" spans="1:10" x14ac:dyDescent="0.25">
      <c r="A59" s="3" t="s">
        <v>137</v>
      </c>
      <c r="B59" s="4">
        <v>45397</v>
      </c>
      <c r="C59" s="3" t="s">
        <v>85</v>
      </c>
      <c r="D59" s="3" t="s">
        <v>68</v>
      </c>
      <c r="E59" s="3">
        <v>3</v>
      </c>
      <c r="F59" s="5">
        <v>1206.8699999999999</v>
      </c>
      <c r="G59" s="3" t="str">
        <f>_xlfn.XLOOKUP(Sales_Table[[#This Row],[ProductID]],Products!A:A,Products!C:C,)</f>
        <v>Home</v>
      </c>
      <c r="H59" s="8">
        <f>VLOOKUP(D59,Products_Table[],4,FALSE)</f>
        <v>402.29</v>
      </c>
      <c r="I59" s="3" t="str">
        <f>VLOOKUP(C59,Customer_Table[],4,FALSE)</f>
        <v>United Kingdom</v>
      </c>
      <c r="J59" s="3" t="str">
        <f t="shared" si="0"/>
        <v>MATCH</v>
      </c>
    </row>
    <row r="60" spans="1:10" x14ac:dyDescent="0.25">
      <c r="A60" s="3" t="s">
        <v>138</v>
      </c>
      <c r="B60" s="4">
        <v>45360</v>
      </c>
      <c r="C60" s="3" t="s">
        <v>139</v>
      </c>
      <c r="D60" s="3" t="s">
        <v>72</v>
      </c>
      <c r="E60" s="3">
        <v>2</v>
      </c>
      <c r="F60" s="5">
        <v>433.44</v>
      </c>
      <c r="G60" s="3" t="str">
        <f>_xlfn.XLOOKUP(Sales_Table[[#This Row],[ProductID]],Products!A:A,Products!C:C,)</f>
        <v>Clothing</v>
      </c>
      <c r="H60" s="8">
        <f>VLOOKUP(D60,Products_Table[],4,FALSE)</f>
        <v>216.72</v>
      </c>
      <c r="I60" s="3" t="str">
        <f>VLOOKUP(C60,Customer_Table[],4,FALSE)</f>
        <v>United States</v>
      </c>
      <c r="J60" s="3" t="str">
        <f t="shared" si="0"/>
        <v>MATCH</v>
      </c>
    </row>
    <row r="61" spans="1:10" x14ac:dyDescent="0.25">
      <c r="A61" s="3" t="s">
        <v>140</v>
      </c>
      <c r="B61" s="4">
        <v>45471</v>
      </c>
      <c r="C61" s="3" t="s">
        <v>141</v>
      </c>
      <c r="D61" s="3" t="s">
        <v>28</v>
      </c>
      <c r="E61" s="3">
        <v>2</v>
      </c>
      <c r="F61" s="5">
        <v>904.4</v>
      </c>
      <c r="G61" s="3" t="str">
        <f>_xlfn.XLOOKUP(Sales_Table[[#This Row],[ProductID]],Products!A:A,Products!C:C,)</f>
        <v>Beauty</v>
      </c>
      <c r="H61" s="8">
        <f>VLOOKUP(D61,Products_Table[],4,FALSE)</f>
        <v>452.2</v>
      </c>
      <c r="I61" s="3" t="str">
        <f>VLOOKUP(C61,Customer_Table[],4,FALSE)</f>
        <v>India</v>
      </c>
      <c r="J61" s="3" t="str">
        <f t="shared" si="0"/>
        <v>MATCH</v>
      </c>
    </row>
    <row r="62" spans="1:10" x14ac:dyDescent="0.25">
      <c r="A62" s="3" t="s">
        <v>142</v>
      </c>
      <c r="B62" s="4">
        <v>45389</v>
      </c>
      <c r="C62" s="3" t="s">
        <v>143</v>
      </c>
      <c r="D62" s="3" t="s">
        <v>81</v>
      </c>
      <c r="E62" s="3">
        <v>1</v>
      </c>
      <c r="F62" s="5">
        <v>433.28</v>
      </c>
      <c r="G62" s="3" t="str">
        <f>_xlfn.XLOOKUP(Sales_Table[[#This Row],[ProductID]],Products!A:A,Products!C:C,)</f>
        <v>Beauty</v>
      </c>
      <c r="H62" s="8">
        <f>VLOOKUP(D62,Products_Table[],4,FALSE)</f>
        <v>433.28</v>
      </c>
      <c r="I62" s="3" t="str">
        <f>VLOOKUP(C62,Customer_Table[],4,FALSE)</f>
        <v>Canada</v>
      </c>
      <c r="J62" s="3" t="str">
        <f t="shared" si="0"/>
        <v>MATCH</v>
      </c>
    </row>
    <row r="63" spans="1:10" x14ac:dyDescent="0.25">
      <c r="A63" s="3" t="s">
        <v>144</v>
      </c>
      <c r="B63" s="4">
        <v>45412</v>
      </c>
      <c r="C63" s="3" t="s">
        <v>145</v>
      </c>
      <c r="D63" s="3" t="s">
        <v>146</v>
      </c>
      <c r="E63" s="3">
        <v>1</v>
      </c>
      <c r="F63" s="5">
        <v>332.9</v>
      </c>
      <c r="G63" s="3" t="str">
        <f>_xlfn.XLOOKUP(Sales_Table[[#This Row],[ProductID]],Products!A:A,Products!C:C,)</f>
        <v>Electronics</v>
      </c>
      <c r="H63" s="8">
        <f>VLOOKUP(D63,Products_Table[],4,FALSE)</f>
        <v>332.9</v>
      </c>
      <c r="I63" s="3" t="str">
        <f>VLOOKUP(C63,Customer_Table[],4,FALSE)</f>
        <v>United Kingdom</v>
      </c>
      <c r="J63" s="3" t="str">
        <f t="shared" si="0"/>
        <v>MATCH</v>
      </c>
    </row>
    <row r="64" spans="1:10" x14ac:dyDescent="0.25">
      <c r="A64" s="3" t="s">
        <v>147</v>
      </c>
      <c r="B64" s="4">
        <v>45343</v>
      </c>
      <c r="C64" s="3" t="s">
        <v>105</v>
      </c>
      <c r="D64" s="3" t="s">
        <v>148</v>
      </c>
      <c r="E64" s="3">
        <v>2</v>
      </c>
      <c r="F64" s="5">
        <v>679.9</v>
      </c>
      <c r="G64" s="3" t="str">
        <f>_xlfn.XLOOKUP(Sales_Table[[#This Row],[ProductID]],Products!A:A,Products!C:C,)</f>
        <v>Electronics</v>
      </c>
      <c r="H64" s="8">
        <f>VLOOKUP(D64,Products_Table[],4,FALSE)</f>
        <v>339.95</v>
      </c>
      <c r="I64" s="3" t="str">
        <f>VLOOKUP(C64,Customer_Table[],4,FALSE)</f>
        <v>United Kingdom</v>
      </c>
      <c r="J64" s="3" t="str">
        <f t="shared" si="0"/>
        <v>MATCH</v>
      </c>
    </row>
    <row r="65" spans="1:10" x14ac:dyDescent="0.25">
      <c r="A65" s="3" t="s">
        <v>149</v>
      </c>
      <c r="B65" s="4">
        <v>45381</v>
      </c>
      <c r="C65" s="3" t="s">
        <v>150</v>
      </c>
      <c r="D65" s="3" t="s">
        <v>124</v>
      </c>
      <c r="E65" s="3">
        <v>4</v>
      </c>
      <c r="F65" s="5">
        <v>158.80000000000001</v>
      </c>
      <c r="G65" s="3" t="str">
        <f>_xlfn.XLOOKUP(Sales_Table[[#This Row],[ProductID]],Products!A:A,Products!C:C,)</f>
        <v>Electronics</v>
      </c>
      <c r="H65" s="8">
        <f>VLOOKUP(D65,Products_Table[],4,FALSE)</f>
        <v>39.700000000000003</v>
      </c>
      <c r="I65" s="3" t="str">
        <f>VLOOKUP(C65,Customer_Table[],4,FALSE)</f>
        <v>United Kingdom</v>
      </c>
      <c r="J65" s="3" t="str">
        <f t="shared" si="0"/>
        <v>MATCH</v>
      </c>
    </row>
    <row r="66" spans="1:10" x14ac:dyDescent="0.25">
      <c r="A66" s="3" t="s">
        <v>151</v>
      </c>
      <c r="B66" s="4">
        <v>45350</v>
      </c>
      <c r="C66" s="3" t="s">
        <v>13</v>
      </c>
      <c r="D66" s="3" t="s">
        <v>152</v>
      </c>
      <c r="E66" s="3">
        <v>3</v>
      </c>
      <c r="F66" s="5">
        <v>1022.55</v>
      </c>
      <c r="G66" s="3" t="str">
        <f>_xlfn.XLOOKUP(Sales_Table[[#This Row],[ProductID]],Products!A:A,Products!C:C,)</f>
        <v>Electronics</v>
      </c>
      <c r="H66" s="8">
        <f>VLOOKUP(D66,Products_Table[],4,FALSE)</f>
        <v>340.85</v>
      </c>
      <c r="I66" s="3" t="str">
        <f>VLOOKUP(C66,Customer_Table[],4,FALSE)</f>
        <v>Canada</v>
      </c>
      <c r="J66" s="3" t="str">
        <f t="shared" ref="J66:J129" si="1">IF($E$2*$H$2=$F$2,"MATCH","DESCREPANCY")</f>
        <v>MATCH</v>
      </c>
    </row>
    <row r="67" spans="1:10" x14ac:dyDescent="0.25">
      <c r="A67" s="3" t="s">
        <v>153</v>
      </c>
      <c r="B67" s="4">
        <v>45298</v>
      </c>
      <c r="C67" s="3" t="s">
        <v>89</v>
      </c>
      <c r="D67" s="3" t="s">
        <v>60</v>
      </c>
      <c r="E67" s="3">
        <v>2</v>
      </c>
      <c r="F67" s="5">
        <v>182.98</v>
      </c>
      <c r="G67" s="3" t="str">
        <f>_xlfn.XLOOKUP(Sales_Table[[#This Row],[ProductID]],Products!A:A,Products!C:C,)</f>
        <v>Clothing</v>
      </c>
      <c r="H67" s="8">
        <f>VLOOKUP(D67,Products_Table[],4,FALSE)</f>
        <v>91.49</v>
      </c>
      <c r="I67" s="3" t="str">
        <f>VLOOKUP(C67,Customer_Table[],4,FALSE)</f>
        <v>United Kingdom</v>
      </c>
      <c r="J67" s="3" t="str">
        <f t="shared" si="1"/>
        <v>MATCH</v>
      </c>
    </row>
    <row r="68" spans="1:10" x14ac:dyDescent="0.25">
      <c r="A68" s="3" t="s">
        <v>154</v>
      </c>
      <c r="B68" s="4">
        <v>45394</v>
      </c>
      <c r="C68" s="3" t="s">
        <v>37</v>
      </c>
      <c r="D68" s="3" t="s">
        <v>148</v>
      </c>
      <c r="E68" s="3">
        <v>2</v>
      </c>
      <c r="F68" s="5">
        <v>679.9</v>
      </c>
      <c r="G68" s="3" t="str">
        <f>_xlfn.XLOOKUP(Sales_Table[[#This Row],[ProductID]],Products!A:A,Products!C:C,)</f>
        <v>Electronics</v>
      </c>
      <c r="H68" s="8">
        <f>VLOOKUP(D68,Products_Table[],4,FALSE)</f>
        <v>339.95</v>
      </c>
      <c r="I68" s="3" t="str">
        <f>VLOOKUP(C68,Customer_Table[],4,FALSE)</f>
        <v>United States</v>
      </c>
      <c r="J68" s="3" t="str">
        <f t="shared" si="1"/>
        <v>MATCH</v>
      </c>
    </row>
    <row r="69" spans="1:10" x14ac:dyDescent="0.25">
      <c r="A69" s="3" t="s">
        <v>155</v>
      </c>
      <c r="B69" s="4">
        <v>45363</v>
      </c>
      <c r="C69" s="3" t="s">
        <v>51</v>
      </c>
      <c r="D69" s="3" t="s">
        <v>14</v>
      </c>
      <c r="E69" s="3">
        <v>3</v>
      </c>
      <c r="F69" s="5">
        <v>710.07</v>
      </c>
      <c r="G69" s="3" t="str">
        <f>_xlfn.XLOOKUP(Sales_Table[[#This Row],[ProductID]],Products!A:A,Products!C:C,)</f>
        <v>Home</v>
      </c>
      <c r="H69" s="8">
        <f>VLOOKUP(D69,Products_Table[],4,FALSE)</f>
        <v>236.69</v>
      </c>
      <c r="I69" s="3" t="str">
        <f>VLOOKUP(C69,Customer_Table[],4,FALSE)</f>
        <v>United States</v>
      </c>
      <c r="J69" s="3" t="str">
        <f t="shared" si="1"/>
        <v>MATCH</v>
      </c>
    </row>
    <row r="70" spans="1:10" x14ac:dyDescent="0.25">
      <c r="A70" s="3" t="s">
        <v>156</v>
      </c>
      <c r="B70" s="4">
        <v>45363</v>
      </c>
      <c r="C70" s="3" t="s">
        <v>105</v>
      </c>
      <c r="D70" s="3" t="s">
        <v>49</v>
      </c>
      <c r="E70" s="3">
        <v>1</v>
      </c>
      <c r="F70" s="5">
        <v>293.8</v>
      </c>
      <c r="G70" s="3" t="str">
        <f>_xlfn.XLOOKUP(Sales_Table[[#This Row],[ProductID]],Products!A:A,Products!C:C,)</f>
        <v>Electronics</v>
      </c>
      <c r="H70" s="8">
        <f>VLOOKUP(D70,Products_Table[],4,FALSE)</f>
        <v>293.8</v>
      </c>
      <c r="I70" s="3" t="str">
        <f>VLOOKUP(C70,Customer_Table[],4,FALSE)</f>
        <v>United Kingdom</v>
      </c>
      <c r="J70" s="3" t="str">
        <f t="shared" si="1"/>
        <v>MATCH</v>
      </c>
    </row>
    <row r="71" spans="1:10" x14ac:dyDescent="0.25">
      <c r="A71" s="3" t="s">
        <v>157</v>
      </c>
      <c r="B71" s="4">
        <v>45456</v>
      </c>
      <c r="C71" s="3" t="s">
        <v>111</v>
      </c>
      <c r="D71" s="3" t="s">
        <v>60</v>
      </c>
      <c r="E71" s="3">
        <v>3</v>
      </c>
      <c r="F71" s="5">
        <v>274.47000000000003</v>
      </c>
      <c r="G71" s="3" t="str">
        <f>_xlfn.XLOOKUP(Sales_Table[[#This Row],[ProductID]],Products!A:A,Products!C:C,)</f>
        <v>Clothing</v>
      </c>
      <c r="H71" s="8">
        <f>VLOOKUP(D71,Products_Table[],4,FALSE)</f>
        <v>91.49</v>
      </c>
      <c r="I71" s="3" t="str">
        <f>VLOOKUP(C71,Customer_Table[],4,FALSE)</f>
        <v>United Kingdom</v>
      </c>
      <c r="J71" s="3" t="str">
        <f t="shared" si="1"/>
        <v>MATCH</v>
      </c>
    </row>
    <row r="72" spans="1:10" x14ac:dyDescent="0.25">
      <c r="A72" s="3" t="s">
        <v>158</v>
      </c>
      <c r="B72" s="4">
        <v>45394</v>
      </c>
      <c r="C72" s="3" t="s">
        <v>159</v>
      </c>
      <c r="D72" s="3" t="s">
        <v>160</v>
      </c>
      <c r="E72" s="3">
        <v>5</v>
      </c>
      <c r="F72" s="5">
        <v>217.9</v>
      </c>
      <c r="G72" s="3" t="str">
        <f>_xlfn.XLOOKUP(Sales_Table[[#This Row],[ProductID]],Products!A:A,Products!C:C,)</f>
        <v>Clothing</v>
      </c>
      <c r="H72" s="8">
        <f>VLOOKUP(D72,Products_Table[],4,FALSE)</f>
        <v>43.58</v>
      </c>
      <c r="I72" s="3" t="str">
        <f>VLOOKUP(C72,Customer_Table[],4,FALSE)</f>
        <v>United States</v>
      </c>
      <c r="J72" s="3" t="str">
        <f t="shared" si="1"/>
        <v>MATCH</v>
      </c>
    </row>
    <row r="73" spans="1:10" x14ac:dyDescent="0.25">
      <c r="A73" s="3" t="s">
        <v>161</v>
      </c>
      <c r="B73" s="4">
        <v>45376</v>
      </c>
      <c r="C73" s="3" t="s">
        <v>7</v>
      </c>
      <c r="D73" s="3" t="s">
        <v>28</v>
      </c>
      <c r="E73" s="3">
        <v>5</v>
      </c>
      <c r="F73" s="5">
        <v>2261</v>
      </c>
      <c r="G73" s="3" t="str">
        <f>_xlfn.XLOOKUP(Sales_Table[[#This Row],[ProductID]],Products!A:A,Products!C:C,)</f>
        <v>Beauty</v>
      </c>
      <c r="H73" s="8">
        <f>VLOOKUP(D73,Products_Table[],4,FALSE)</f>
        <v>452.2</v>
      </c>
      <c r="I73" s="3" t="str">
        <f>VLOOKUP(C73,Customer_Table[],4,FALSE)</f>
        <v>Canada</v>
      </c>
      <c r="J73" s="3" t="str">
        <f t="shared" si="1"/>
        <v>MATCH</v>
      </c>
    </row>
    <row r="74" spans="1:10" x14ac:dyDescent="0.25">
      <c r="A74" s="3" t="s">
        <v>162</v>
      </c>
      <c r="B74" s="4">
        <v>45321</v>
      </c>
      <c r="C74" s="3" t="s">
        <v>128</v>
      </c>
      <c r="D74" s="3" t="s">
        <v>152</v>
      </c>
      <c r="E74" s="3">
        <v>1</v>
      </c>
      <c r="F74" s="5">
        <v>340.85</v>
      </c>
      <c r="G74" s="3" t="str">
        <f>_xlfn.XLOOKUP(Sales_Table[[#This Row],[ProductID]],Products!A:A,Products!C:C,)</f>
        <v>Electronics</v>
      </c>
      <c r="H74" s="8">
        <f>VLOOKUP(D74,Products_Table[],4,FALSE)</f>
        <v>340.85</v>
      </c>
      <c r="I74" s="3" t="str">
        <f>VLOOKUP(C74,Customer_Table[],4,FALSE)</f>
        <v>Canada</v>
      </c>
      <c r="J74" s="3" t="str">
        <f t="shared" si="1"/>
        <v>MATCH</v>
      </c>
    </row>
    <row r="75" spans="1:10" x14ac:dyDescent="0.25">
      <c r="A75" s="3" t="s">
        <v>163</v>
      </c>
      <c r="B75" s="4">
        <v>45337</v>
      </c>
      <c r="C75" s="3" t="s">
        <v>13</v>
      </c>
      <c r="D75" s="3" t="s">
        <v>136</v>
      </c>
      <c r="E75" s="3">
        <v>3</v>
      </c>
      <c r="F75" s="5">
        <v>1293.6600000000001</v>
      </c>
      <c r="G75" s="3" t="str">
        <f>_xlfn.XLOOKUP(Sales_Table[[#This Row],[ProductID]],Products!A:A,Products!C:C,)</f>
        <v>Electronics</v>
      </c>
      <c r="H75" s="8">
        <f>VLOOKUP(D75,Products_Table[],4,FALSE)</f>
        <v>431.22</v>
      </c>
      <c r="I75" s="3" t="str">
        <f>VLOOKUP(C75,Customer_Table[],4,FALSE)</f>
        <v>Canada</v>
      </c>
      <c r="J75" s="3" t="str">
        <f t="shared" si="1"/>
        <v>MATCH</v>
      </c>
    </row>
    <row r="76" spans="1:10" x14ac:dyDescent="0.25">
      <c r="A76" s="3" t="s">
        <v>164</v>
      </c>
      <c r="B76" s="4">
        <v>45359</v>
      </c>
      <c r="C76" s="3" t="s">
        <v>135</v>
      </c>
      <c r="D76" s="3" t="s">
        <v>165</v>
      </c>
      <c r="E76" s="3">
        <v>5</v>
      </c>
      <c r="F76" s="5">
        <v>1309.7</v>
      </c>
      <c r="G76" s="3" t="str">
        <f>_xlfn.XLOOKUP(Sales_Table[[#This Row],[ProductID]],Products!A:A,Products!C:C,)</f>
        <v>Electronics</v>
      </c>
      <c r="H76" s="8">
        <f>VLOOKUP(D76,Products_Table[],4,FALSE)</f>
        <v>261.94</v>
      </c>
      <c r="I76" s="3" t="str">
        <f>VLOOKUP(C76,Customer_Table[],4,FALSE)</f>
        <v>India</v>
      </c>
      <c r="J76" s="3" t="str">
        <f t="shared" si="1"/>
        <v>MATCH</v>
      </c>
    </row>
    <row r="77" spans="1:10" x14ac:dyDescent="0.25">
      <c r="A77" s="3" t="s">
        <v>166</v>
      </c>
      <c r="B77" s="4">
        <v>45319</v>
      </c>
      <c r="C77" s="3" t="s">
        <v>167</v>
      </c>
      <c r="D77" s="3" t="s">
        <v>165</v>
      </c>
      <c r="E77" s="3">
        <v>1</v>
      </c>
      <c r="F77" s="5">
        <v>261.94</v>
      </c>
      <c r="G77" s="3" t="str">
        <f>_xlfn.XLOOKUP(Sales_Table[[#This Row],[ProductID]],Products!A:A,Products!C:C,)</f>
        <v>Electronics</v>
      </c>
      <c r="H77" s="8">
        <f>VLOOKUP(D77,Products_Table[],4,FALSE)</f>
        <v>261.94</v>
      </c>
      <c r="I77" s="3" t="str">
        <f>VLOOKUP(C77,Customer_Table[],4,FALSE)</f>
        <v>United Kingdom</v>
      </c>
      <c r="J77" s="3" t="str">
        <f t="shared" si="1"/>
        <v>MATCH</v>
      </c>
    </row>
    <row r="78" spans="1:10" x14ac:dyDescent="0.25">
      <c r="A78" s="3" t="s">
        <v>168</v>
      </c>
      <c r="B78" s="4">
        <v>45403</v>
      </c>
      <c r="C78" s="3" t="s">
        <v>135</v>
      </c>
      <c r="D78" s="3" t="s">
        <v>114</v>
      </c>
      <c r="E78" s="3">
        <v>5</v>
      </c>
      <c r="F78" s="5">
        <v>1135.6500000000001</v>
      </c>
      <c r="G78" s="3" t="str">
        <f>_xlfn.XLOOKUP(Sales_Table[[#This Row],[ProductID]],Products!A:A,Products!C:C,)</f>
        <v>Electronics</v>
      </c>
      <c r="H78" s="8">
        <f>VLOOKUP(D78,Products_Table[],4,FALSE)</f>
        <v>227.13</v>
      </c>
      <c r="I78" s="3" t="str">
        <f>VLOOKUP(C78,Customer_Table[],4,FALSE)</f>
        <v>India</v>
      </c>
      <c r="J78" s="3" t="str">
        <f t="shared" si="1"/>
        <v>MATCH</v>
      </c>
    </row>
    <row r="79" spans="1:10" x14ac:dyDescent="0.25">
      <c r="A79" s="3" t="s">
        <v>169</v>
      </c>
      <c r="B79" s="4">
        <v>45372</v>
      </c>
      <c r="C79" s="3" t="s">
        <v>170</v>
      </c>
      <c r="D79" s="3" t="s">
        <v>23</v>
      </c>
      <c r="E79" s="3">
        <v>3</v>
      </c>
      <c r="F79" s="5">
        <v>309.89999999999998</v>
      </c>
      <c r="G79" s="3" t="str">
        <f>_xlfn.XLOOKUP(Sales_Table[[#This Row],[ProductID]],Products!A:A,Products!C:C,)</f>
        <v>Beauty</v>
      </c>
      <c r="H79" s="8">
        <f>VLOOKUP(D79,Products_Table[],4,FALSE)</f>
        <v>103.3</v>
      </c>
      <c r="I79" s="3" t="str">
        <f>VLOOKUP(C79,Customer_Table[],4,FALSE)</f>
        <v>United Kingdom</v>
      </c>
      <c r="J79" s="3" t="str">
        <f t="shared" si="1"/>
        <v>MATCH</v>
      </c>
    </row>
    <row r="80" spans="1:10" x14ac:dyDescent="0.25">
      <c r="A80" s="3" t="s">
        <v>171</v>
      </c>
      <c r="B80" s="4">
        <v>45447</v>
      </c>
      <c r="C80" s="3" t="s">
        <v>172</v>
      </c>
      <c r="D80" s="3" t="s">
        <v>81</v>
      </c>
      <c r="E80" s="3">
        <v>4</v>
      </c>
      <c r="F80" s="5">
        <v>1733.12</v>
      </c>
      <c r="G80" s="3" t="str">
        <f>_xlfn.XLOOKUP(Sales_Table[[#This Row],[ProductID]],Products!A:A,Products!C:C,)</f>
        <v>Beauty</v>
      </c>
      <c r="H80" s="8">
        <f>VLOOKUP(D80,Products_Table[],4,FALSE)</f>
        <v>433.28</v>
      </c>
      <c r="I80" s="3" t="str">
        <f>VLOOKUP(C80,Customer_Table[],4,FALSE)</f>
        <v>Canada</v>
      </c>
      <c r="J80" s="3" t="str">
        <f t="shared" si="1"/>
        <v>MATCH</v>
      </c>
    </row>
    <row r="81" spans="1:10" x14ac:dyDescent="0.25">
      <c r="A81" s="3" t="s">
        <v>173</v>
      </c>
      <c r="B81" s="4">
        <v>45321</v>
      </c>
      <c r="C81" s="3" t="s">
        <v>174</v>
      </c>
      <c r="D81" s="3" t="s">
        <v>146</v>
      </c>
      <c r="E81" s="3">
        <v>5</v>
      </c>
      <c r="F81" s="5">
        <v>1664.5</v>
      </c>
      <c r="G81" s="3" t="str">
        <f>_xlfn.XLOOKUP(Sales_Table[[#This Row],[ProductID]],Products!A:A,Products!C:C,)</f>
        <v>Electronics</v>
      </c>
      <c r="H81" s="8">
        <f>VLOOKUP(D81,Products_Table[],4,FALSE)</f>
        <v>332.9</v>
      </c>
      <c r="I81" s="3" t="str">
        <f>VLOOKUP(C81,Customer_Table[],4,FALSE)</f>
        <v>Canada</v>
      </c>
      <c r="J81" s="3" t="str">
        <f t="shared" si="1"/>
        <v>MATCH</v>
      </c>
    </row>
    <row r="82" spans="1:10" x14ac:dyDescent="0.25">
      <c r="A82" s="3" t="s">
        <v>175</v>
      </c>
      <c r="B82" s="4">
        <v>45439</v>
      </c>
      <c r="C82" s="3" t="s">
        <v>176</v>
      </c>
      <c r="D82" s="3" t="s">
        <v>63</v>
      </c>
      <c r="E82" s="3">
        <v>4</v>
      </c>
      <c r="F82" s="5">
        <v>231.92</v>
      </c>
      <c r="G82" s="3" t="str">
        <f>_xlfn.XLOOKUP(Sales_Table[[#This Row],[ProductID]],Products!A:A,Products!C:C,)</f>
        <v>Sports</v>
      </c>
      <c r="H82" s="8">
        <f>VLOOKUP(D82,Products_Table[],4,FALSE)</f>
        <v>57.98</v>
      </c>
      <c r="I82" s="3" t="str">
        <f>VLOOKUP(C82,Customer_Table[],4,FALSE)</f>
        <v>United Kingdom</v>
      </c>
      <c r="J82" s="3" t="str">
        <f t="shared" si="1"/>
        <v>MATCH</v>
      </c>
    </row>
    <row r="83" spans="1:10" x14ac:dyDescent="0.25">
      <c r="A83" s="3" t="s">
        <v>177</v>
      </c>
      <c r="B83" s="4">
        <v>45357</v>
      </c>
      <c r="C83" s="3" t="s">
        <v>48</v>
      </c>
      <c r="D83" s="3" t="s">
        <v>178</v>
      </c>
      <c r="E83" s="3">
        <v>2</v>
      </c>
      <c r="F83" s="5">
        <v>435.1</v>
      </c>
      <c r="G83" s="3" t="str">
        <f>_xlfn.XLOOKUP(Sales_Table[[#This Row],[ProductID]],Products!A:A,Products!C:C,)</f>
        <v>Home</v>
      </c>
      <c r="H83" s="8">
        <f>VLOOKUP(D83,Products_Table[],4,FALSE)</f>
        <v>217.55</v>
      </c>
      <c r="I83" s="3" t="str">
        <f>VLOOKUP(C83,Customer_Table[],4,FALSE)</f>
        <v>Canada</v>
      </c>
      <c r="J83" s="3" t="str">
        <f t="shared" si="1"/>
        <v>MATCH</v>
      </c>
    </row>
    <row r="84" spans="1:10" x14ac:dyDescent="0.25">
      <c r="A84" s="3" t="s">
        <v>179</v>
      </c>
      <c r="B84" s="4">
        <v>45403</v>
      </c>
      <c r="C84" s="3" t="s">
        <v>180</v>
      </c>
      <c r="D84" s="3" t="s">
        <v>72</v>
      </c>
      <c r="E84" s="3">
        <v>1</v>
      </c>
      <c r="F84" s="5">
        <v>216.72</v>
      </c>
      <c r="G84" s="3" t="str">
        <f>_xlfn.XLOOKUP(Sales_Table[[#This Row],[ProductID]],Products!A:A,Products!C:C,)</f>
        <v>Clothing</v>
      </c>
      <c r="H84" s="8">
        <f>VLOOKUP(D84,Products_Table[],4,FALSE)</f>
        <v>216.72</v>
      </c>
      <c r="I84" s="3" t="str">
        <f>VLOOKUP(C84,Customer_Table[],4,FALSE)</f>
        <v>United Kingdom</v>
      </c>
      <c r="J84" s="3" t="str">
        <f t="shared" si="1"/>
        <v>MATCH</v>
      </c>
    </row>
    <row r="85" spans="1:10" x14ac:dyDescent="0.25">
      <c r="A85" s="3" t="s">
        <v>181</v>
      </c>
      <c r="B85" s="4">
        <v>45425</v>
      </c>
      <c r="C85" s="3" t="s">
        <v>182</v>
      </c>
      <c r="D85" s="3" t="s">
        <v>136</v>
      </c>
      <c r="E85" s="3">
        <v>1</v>
      </c>
      <c r="F85" s="5">
        <v>431.22</v>
      </c>
      <c r="G85" s="3" t="str">
        <f>_xlfn.XLOOKUP(Sales_Table[[#This Row],[ProductID]],Products!A:A,Products!C:C,)</f>
        <v>Electronics</v>
      </c>
      <c r="H85" s="8">
        <f>VLOOKUP(D85,Products_Table[],4,FALSE)</f>
        <v>431.22</v>
      </c>
      <c r="I85" s="3" t="str">
        <f>VLOOKUP(C85,Customer_Table[],4,FALSE)</f>
        <v>Canada</v>
      </c>
      <c r="J85" s="3" t="str">
        <f t="shared" si="1"/>
        <v>MATCH</v>
      </c>
    </row>
    <row r="86" spans="1:10" x14ac:dyDescent="0.25">
      <c r="A86" s="3" t="s">
        <v>183</v>
      </c>
      <c r="B86" s="4">
        <v>45467</v>
      </c>
      <c r="C86" s="3" t="s">
        <v>57</v>
      </c>
      <c r="D86" s="3" t="s">
        <v>136</v>
      </c>
      <c r="E86" s="3">
        <v>5</v>
      </c>
      <c r="F86" s="5">
        <v>2156.1</v>
      </c>
      <c r="G86" s="3" t="str">
        <f>_xlfn.XLOOKUP(Sales_Table[[#This Row],[ProductID]],Products!A:A,Products!C:C,)</f>
        <v>Electronics</v>
      </c>
      <c r="H86" s="8">
        <f>VLOOKUP(D86,Products_Table[],4,FALSE)</f>
        <v>431.22</v>
      </c>
      <c r="I86" s="3" t="str">
        <f>VLOOKUP(C86,Customer_Table[],4,FALSE)</f>
        <v>United Kingdom</v>
      </c>
      <c r="J86" s="3" t="str">
        <f t="shared" si="1"/>
        <v>MATCH</v>
      </c>
    </row>
    <row r="87" spans="1:10" x14ac:dyDescent="0.25">
      <c r="A87" s="3" t="s">
        <v>184</v>
      </c>
      <c r="B87" s="4">
        <v>45385</v>
      </c>
      <c r="C87" s="3" t="s">
        <v>185</v>
      </c>
      <c r="D87" s="3" t="s">
        <v>98</v>
      </c>
      <c r="E87" s="3">
        <v>2</v>
      </c>
      <c r="F87" s="5">
        <v>263.68</v>
      </c>
      <c r="G87" s="3" t="str">
        <f>_xlfn.XLOOKUP(Sales_Table[[#This Row],[ProductID]],Products!A:A,Products!C:C,)</f>
        <v>Electronics</v>
      </c>
      <c r="H87" s="8">
        <f>VLOOKUP(D87,Products_Table[],4,FALSE)</f>
        <v>131.84</v>
      </c>
      <c r="I87" s="3" t="str">
        <f>VLOOKUP(C87,Customer_Table[],4,FALSE)</f>
        <v>India</v>
      </c>
      <c r="J87" s="3" t="str">
        <f t="shared" si="1"/>
        <v>MATCH</v>
      </c>
    </row>
    <row r="88" spans="1:10" x14ac:dyDescent="0.25">
      <c r="A88" s="3" t="s">
        <v>186</v>
      </c>
      <c r="B88" s="4">
        <v>45309</v>
      </c>
      <c r="C88" s="3" t="s">
        <v>16</v>
      </c>
      <c r="D88" s="3" t="s">
        <v>152</v>
      </c>
      <c r="E88" s="3">
        <v>4</v>
      </c>
      <c r="F88" s="5">
        <v>1363.4</v>
      </c>
      <c r="G88" s="3" t="str">
        <f>_xlfn.XLOOKUP(Sales_Table[[#This Row],[ProductID]],Products!A:A,Products!C:C,)</f>
        <v>Electronics</v>
      </c>
      <c r="H88" s="8">
        <f>VLOOKUP(D88,Products_Table[],4,FALSE)</f>
        <v>340.85</v>
      </c>
      <c r="I88" s="3" t="str">
        <f>VLOOKUP(C88,Customer_Table[],4,FALSE)</f>
        <v>Canada</v>
      </c>
      <c r="J88" s="3" t="str">
        <f t="shared" si="1"/>
        <v>MATCH</v>
      </c>
    </row>
    <row r="89" spans="1:10" x14ac:dyDescent="0.25">
      <c r="A89" s="3" t="s">
        <v>187</v>
      </c>
      <c r="B89" s="4">
        <v>45451</v>
      </c>
      <c r="C89" s="3" t="s">
        <v>188</v>
      </c>
      <c r="D89" s="3" t="s">
        <v>81</v>
      </c>
      <c r="E89" s="3">
        <v>3</v>
      </c>
      <c r="F89" s="5">
        <v>1299.8399999999999</v>
      </c>
      <c r="G89" s="3" t="str">
        <f>_xlfn.XLOOKUP(Sales_Table[[#This Row],[ProductID]],Products!A:A,Products!C:C,)</f>
        <v>Beauty</v>
      </c>
      <c r="H89" s="8">
        <f>VLOOKUP(D89,Products_Table[],4,FALSE)</f>
        <v>433.28</v>
      </c>
      <c r="I89" s="3" t="str">
        <f>VLOOKUP(C89,Customer_Table[],4,FALSE)</f>
        <v>United Kingdom</v>
      </c>
      <c r="J89" s="3" t="str">
        <f t="shared" si="1"/>
        <v>MATCH</v>
      </c>
    </row>
    <row r="90" spans="1:10" x14ac:dyDescent="0.25">
      <c r="A90" s="3" t="s">
        <v>189</v>
      </c>
      <c r="B90" s="4">
        <v>45461</v>
      </c>
      <c r="C90" s="3" t="s">
        <v>46</v>
      </c>
      <c r="D90" s="3" t="s">
        <v>72</v>
      </c>
      <c r="E90" s="3">
        <v>3</v>
      </c>
      <c r="F90" s="5">
        <v>650.16</v>
      </c>
      <c r="G90" s="3" t="str">
        <f>_xlfn.XLOOKUP(Sales_Table[[#This Row],[ProductID]],Products!A:A,Products!C:C,)</f>
        <v>Clothing</v>
      </c>
      <c r="H90" s="8">
        <f>VLOOKUP(D90,Products_Table[],4,FALSE)</f>
        <v>216.72</v>
      </c>
      <c r="I90" s="3" t="str">
        <f>VLOOKUP(C90,Customer_Table[],4,FALSE)</f>
        <v>United Kingdom</v>
      </c>
      <c r="J90" s="3" t="str">
        <f t="shared" si="1"/>
        <v>MATCH</v>
      </c>
    </row>
    <row r="91" spans="1:10" x14ac:dyDescent="0.25">
      <c r="A91" s="3" t="s">
        <v>190</v>
      </c>
      <c r="B91" s="4">
        <v>45368</v>
      </c>
      <c r="C91" s="3" t="s">
        <v>22</v>
      </c>
      <c r="D91" s="3" t="s">
        <v>23</v>
      </c>
      <c r="E91" s="3">
        <v>1</v>
      </c>
      <c r="F91" s="5">
        <v>103.3</v>
      </c>
      <c r="G91" s="3" t="str">
        <f>_xlfn.XLOOKUP(Sales_Table[[#This Row],[ProductID]],Products!A:A,Products!C:C,)</f>
        <v>Beauty</v>
      </c>
      <c r="H91" s="8">
        <f>VLOOKUP(D91,Products_Table[],4,FALSE)</f>
        <v>103.3</v>
      </c>
      <c r="I91" s="3" t="str">
        <f>VLOOKUP(C91,Customer_Table[],4,FALSE)</f>
        <v>United States</v>
      </c>
      <c r="J91" s="3" t="str">
        <f t="shared" si="1"/>
        <v>MATCH</v>
      </c>
    </row>
    <row r="92" spans="1:10" x14ac:dyDescent="0.25">
      <c r="A92" s="3" t="s">
        <v>191</v>
      </c>
      <c r="B92" s="4">
        <v>45371</v>
      </c>
      <c r="C92" s="3" t="s">
        <v>62</v>
      </c>
      <c r="D92" s="3" t="s">
        <v>124</v>
      </c>
      <c r="E92" s="3">
        <v>5</v>
      </c>
      <c r="F92" s="5">
        <v>198.5</v>
      </c>
      <c r="G92" s="3" t="str">
        <f>_xlfn.XLOOKUP(Sales_Table[[#This Row],[ProductID]],Products!A:A,Products!C:C,)</f>
        <v>Electronics</v>
      </c>
      <c r="H92" s="8">
        <f>VLOOKUP(D92,Products_Table[],4,FALSE)</f>
        <v>39.700000000000003</v>
      </c>
      <c r="I92" s="3" t="str">
        <f>VLOOKUP(C92,Customer_Table[],4,FALSE)</f>
        <v>Canada</v>
      </c>
      <c r="J92" s="3" t="str">
        <f t="shared" si="1"/>
        <v>MATCH</v>
      </c>
    </row>
    <row r="93" spans="1:10" x14ac:dyDescent="0.25">
      <c r="A93" s="3" t="s">
        <v>192</v>
      </c>
      <c r="B93" s="4">
        <v>45375</v>
      </c>
      <c r="C93" s="3" t="s">
        <v>65</v>
      </c>
      <c r="D93" s="3" t="s">
        <v>35</v>
      </c>
      <c r="E93" s="3">
        <v>4</v>
      </c>
      <c r="F93" s="5">
        <v>1169.3599999999999</v>
      </c>
      <c r="G93" s="3" t="str">
        <f>_xlfn.XLOOKUP(Sales_Table[[#This Row],[ProductID]],Products!A:A,Products!C:C,)</f>
        <v>Sports</v>
      </c>
      <c r="H93" s="8">
        <f>VLOOKUP(D93,Products_Table[],4,FALSE)</f>
        <v>292.33999999999997</v>
      </c>
      <c r="I93" s="3" t="str">
        <f>VLOOKUP(C93,Customer_Table[],4,FALSE)</f>
        <v>India</v>
      </c>
      <c r="J93" s="3" t="str">
        <f t="shared" si="1"/>
        <v>MATCH</v>
      </c>
    </row>
    <row r="94" spans="1:10" x14ac:dyDescent="0.25">
      <c r="A94" s="3" t="s">
        <v>193</v>
      </c>
      <c r="B94" s="4">
        <v>45470</v>
      </c>
      <c r="C94" s="3" t="s">
        <v>62</v>
      </c>
      <c r="D94" s="3" t="s">
        <v>98</v>
      </c>
      <c r="E94" s="3">
        <v>4</v>
      </c>
      <c r="F94" s="5">
        <v>527.36</v>
      </c>
      <c r="G94" s="3" t="str">
        <f>_xlfn.XLOOKUP(Sales_Table[[#This Row],[ProductID]],Products!A:A,Products!C:C,)</f>
        <v>Electronics</v>
      </c>
      <c r="H94" s="8">
        <f>VLOOKUP(D94,Products_Table[],4,FALSE)</f>
        <v>131.84</v>
      </c>
      <c r="I94" s="3" t="str">
        <f>VLOOKUP(C94,Customer_Table[],4,FALSE)</f>
        <v>Canada</v>
      </c>
      <c r="J94" s="3" t="str">
        <f t="shared" si="1"/>
        <v>MATCH</v>
      </c>
    </row>
    <row r="95" spans="1:10" x14ac:dyDescent="0.25">
      <c r="A95" s="3" t="s">
        <v>194</v>
      </c>
      <c r="B95" s="4">
        <v>45433</v>
      </c>
      <c r="C95" s="3" t="s">
        <v>195</v>
      </c>
      <c r="D95" s="3" t="s">
        <v>196</v>
      </c>
      <c r="E95" s="3">
        <v>3</v>
      </c>
      <c r="F95" s="5">
        <v>737.61</v>
      </c>
      <c r="G95" s="3" t="str">
        <f>_xlfn.XLOOKUP(Sales_Table[[#This Row],[ProductID]],Products!A:A,Products!C:C,)</f>
        <v>Beauty</v>
      </c>
      <c r="H95" s="8">
        <f>VLOOKUP(D95,Products_Table[],4,FALSE)</f>
        <v>245.87</v>
      </c>
      <c r="I95" s="3" t="str">
        <f>VLOOKUP(C95,Customer_Table[],4,FALSE)</f>
        <v>United Kingdom</v>
      </c>
      <c r="J95" s="3" t="str">
        <f t="shared" si="1"/>
        <v>MATCH</v>
      </c>
    </row>
    <row r="96" spans="1:10" x14ac:dyDescent="0.25">
      <c r="A96" s="3" t="s">
        <v>197</v>
      </c>
      <c r="B96" s="4">
        <v>45341</v>
      </c>
      <c r="C96" s="3" t="s">
        <v>198</v>
      </c>
      <c r="D96" s="3" t="s">
        <v>81</v>
      </c>
      <c r="E96" s="3">
        <v>2</v>
      </c>
      <c r="F96" s="5">
        <v>866.56</v>
      </c>
      <c r="G96" s="3" t="str">
        <f>_xlfn.XLOOKUP(Sales_Table[[#This Row],[ProductID]],Products!A:A,Products!C:C,)</f>
        <v>Beauty</v>
      </c>
      <c r="H96" s="8">
        <f>VLOOKUP(D96,Products_Table[],4,FALSE)</f>
        <v>433.28</v>
      </c>
      <c r="I96" s="3" t="str">
        <f>VLOOKUP(C96,Customer_Table[],4,FALSE)</f>
        <v>United Kingdom</v>
      </c>
      <c r="J96" s="3" t="str">
        <f t="shared" si="1"/>
        <v>MATCH</v>
      </c>
    </row>
    <row r="97" spans="1:10" x14ac:dyDescent="0.25">
      <c r="A97" s="3" t="s">
        <v>199</v>
      </c>
      <c r="B97" s="4">
        <v>45462</v>
      </c>
      <c r="C97" s="3" t="s">
        <v>180</v>
      </c>
      <c r="D97" s="3" t="s">
        <v>196</v>
      </c>
      <c r="E97" s="3">
        <v>4</v>
      </c>
      <c r="F97" s="5">
        <v>983.48</v>
      </c>
      <c r="G97" s="3" t="str">
        <f>_xlfn.XLOOKUP(Sales_Table[[#This Row],[ProductID]],Products!A:A,Products!C:C,)</f>
        <v>Beauty</v>
      </c>
      <c r="H97" s="8">
        <f>VLOOKUP(D97,Products_Table[],4,FALSE)</f>
        <v>245.87</v>
      </c>
      <c r="I97" s="3" t="str">
        <f>VLOOKUP(C97,Customer_Table[],4,FALSE)</f>
        <v>United Kingdom</v>
      </c>
      <c r="J97" s="3" t="str">
        <f t="shared" si="1"/>
        <v>MATCH</v>
      </c>
    </row>
    <row r="98" spans="1:10" x14ac:dyDescent="0.25">
      <c r="A98" s="3" t="s">
        <v>200</v>
      </c>
      <c r="B98" s="4">
        <v>45465</v>
      </c>
      <c r="C98" s="3" t="s">
        <v>111</v>
      </c>
      <c r="D98" s="3" t="s">
        <v>108</v>
      </c>
      <c r="E98" s="3">
        <v>4</v>
      </c>
      <c r="F98" s="5">
        <v>197</v>
      </c>
      <c r="G98" s="3" t="str">
        <f>_xlfn.XLOOKUP(Sales_Table[[#This Row],[ProductID]],Products!A:A,Products!C:C,)</f>
        <v>Sports</v>
      </c>
      <c r="H98" s="8">
        <f>VLOOKUP(D98,Products_Table[],4,FALSE)</f>
        <v>49.25</v>
      </c>
      <c r="I98" s="3" t="str">
        <f>VLOOKUP(C98,Customer_Table[],4,FALSE)</f>
        <v>United Kingdom</v>
      </c>
      <c r="J98" s="3" t="str">
        <f t="shared" si="1"/>
        <v>MATCH</v>
      </c>
    </row>
    <row r="99" spans="1:10" x14ac:dyDescent="0.25">
      <c r="A99" s="3" t="s">
        <v>201</v>
      </c>
      <c r="B99" s="4">
        <v>45449</v>
      </c>
      <c r="C99" s="3" t="s">
        <v>202</v>
      </c>
      <c r="D99" s="3" t="s">
        <v>49</v>
      </c>
      <c r="E99" s="3">
        <v>2</v>
      </c>
      <c r="F99" s="5">
        <v>587.6</v>
      </c>
      <c r="G99" s="3" t="str">
        <f>_xlfn.XLOOKUP(Sales_Table[[#This Row],[ProductID]],Products!A:A,Products!C:C,)</f>
        <v>Electronics</v>
      </c>
      <c r="H99" s="8">
        <f>VLOOKUP(D99,Products_Table[],4,FALSE)</f>
        <v>293.8</v>
      </c>
      <c r="I99" s="3" t="str">
        <f>VLOOKUP(C99,Customer_Table[],4,FALSE)</f>
        <v>India</v>
      </c>
      <c r="J99" s="3" t="str">
        <f t="shared" si="1"/>
        <v>MATCH</v>
      </c>
    </row>
    <row r="100" spans="1:10" x14ac:dyDescent="0.25">
      <c r="A100" s="3" t="s">
        <v>203</v>
      </c>
      <c r="B100" s="4">
        <v>45369</v>
      </c>
      <c r="C100" s="3" t="s">
        <v>135</v>
      </c>
      <c r="D100" s="3" t="s">
        <v>146</v>
      </c>
      <c r="E100" s="3">
        <v>5</v>
      </c>
      <c r="F100" s="5">
        <v>1664.5</v>
      </c>
      <c r="G100" s="3" t="str">
        <f>_xlfn.XLOOKUP(Sales_Table[[#This Row],[ProductID]],Products!A:A,Products!C:C,)</f>
        <v>Electronics</v>
      </c>
      <c r="H100" s="8">
        <f>VLOOKUP(D100,Products_Table[],4,FALSE)</f>
        <v>332.9</v>
      </c>
      <c r="I100" s="3" t="str">
        <f>VLOOKUP(C100,Customer_Table[],4,FALSE)</f>
        <v>India</v>
      </c>
      <c r="J100" s="3" t="str">
        <f t="shared" si="1"/>
        <v>MATCH</v>
      </c>
    </row>
    <row r="101" spans="1:10" x14ac:dyDescent="0.25">
      <c r="A101" s="3" t="s">
        <v>204</v>
      </c>
      <c r="B101" s="4">
        <v>45432</v>
      </c>
      <c r="C101" s="3" t="s">
        <v>83</v>
      </c>
      <c r="D101" s="3" t="s">
        <v>129</v>
      </c>
      <c r="E101" s="3">
        <v>4</v>
      </c>
      <c r="F101" s="5">
        <v>466.68</v>
      </c>
      <c r="G101" s="3" t="str">
        <f>_xlfn.XLOOKUP(Sales_Table[[#This Row],[ProductID]],Products!A:A,Products!C:C,)</f>
        <v>Home</v>
      </c>
      <c r="H101" s="8">
        <f>VLOOKUP(D101,Products_Table[],4,FALSE)</f>
        <v>116.67</v>
      </c>
      <c r="I101" s="3" t="str">
        <f>VLOOKUP(C101,Customer_Table[],4,FALSE)</f>
        <v>United Kingdom</v>
      </c>
      <c r="J101" s="3" t="str">
        <f t="shared" si="1"/>
        <v>MATCH</v>
      </c>
    </row>
    <row r="102" spans="1:10" x14ac:dyDescent="0.25">
      <c r="A102" s="3" t="s">
        <v>205</v>
      </c>
      <c r="B102" s="4">
        <v>45369</v>
      </c>
      <c r="C102" s="3" t="s">
        <v>206</v>
      </c>
      <c r="D102" s="3" t="s">
        <v>49</v>
      </c>
      <c r="E102" s="3">
        <v>1</v>
      </c>
      <c r="F102" s="5">
        <v>293.8</v>
      </c>
      <c r="G102" s="3" t="str">
        <f>_xlfn.XLOOKUP(Sales_Table[[#This Row],[ProductID]],Products!A:A,Products!C:C,)</f>
        <v>Electronics</v>
      </c>
      <c r="H102" s="8">
        <f>VLOOKUP(D102,Products_Table[],4,FALSE)</f>
        <v>293.8</v>
      </c>
      <c r="I102" s="3" t="str">
        <f>VLOOKUP(C102,Customer_Table[],4,FALSE)</f>
        <v>Canada</v>
      </c>
      <c r="J102" s="3" t="str">
        <f t="shared" si="1"/>
        <v>MATCH</v>
      </c>
    </row>
    <row r="103" spans="1:10" x14ac:dyDescent="0.25">
      <c r="A103" s="3" t="s">
        <v>207</v>
      </c>
      <c r="B103" s="4">
        <v>45345</v>
      </c>
      <c r="C103" s="3" t="s">
        <v>97</v>
      </c>
      <c r="D103" s="3" t="s">
        <v>8</v>
      </c>
      <c r="E103" s="3">
        <v>3</v>
      </c>
      <c r="F103" s="5">
        <v>1258.95</v>
      </c>
      <c r="G103" s="3" t="str">
        <f>_xlfn.XLOOKUP(Sales_Table[[#This Row],[ProductID]],Products!A:A,Products!C:C,)</f>
        <v>Sports</v>
      </c>
      <c r="H103" s="8">
        <f>VLOOKUP(D103,Products_Table[],4,FALSE)</f>
        <v>419.65</v>
      </c>
      <c r="I103" s="3" t="str">
        <f>VLOOKUP(C103,Customer_Table[],4,FALSE)</f>
        <v>United States</v>
      </c>
      <c r="J103" s="3" t="str">
        <f t="shared" si="1"/>
        <v>MATCH</v>
      </c>
    </row>
    <row r="104" spans="1:10" x14ac:dyDescent="0.25">
      <c r="A104" s="3" t="s">
        <v>208</v>
      </c>
      <c r="B104" s="4">
        <v>45440</v>
      </c>
      <c r="C104" s="3" t="s">
        <v>209</v>
      </c>
      <c r="D104" s="3" t="s">
        <v>14</v>
      </c>
      <c r="E104" s="3">
        <v>4</v>
      </c>
      <c r="F104" s="5">
        <v>946.76</v>
      </c>
      <c r="G104" s="3" t="str">
        <f>_xlfn.XLOOKUP(Sales_Table[[#This Row],[ProductID]],Products!A:A,Products!C:C,)</f>
        <v>Home</v>
      </c>
      <c r="H104" s="8">
        <f>VLOOKUP(D104,Products_Table[],4,FALSE)</f>
        <v>236.69</v>
      </c>
      <c r="I104" s="3" t="str">
        <f>VLOOKUP(C104,Customer_Table[],4,FALSE)</f>
        <v>India</v>
      </c>
      <c r="J104" s="3" t="str">
        <f t="shared" si="1"/>
        <v>MATCH</v>
      </c>
    </row>
    <row r="105" spans="1:10" x14ac:dyDescent="0.25">
      <c r="A105" s="3" t="s">
        <v>210</v>
      </c>
      <c r="B105" s="4">
        <v>45459</v>
      </c>
      <c r="C105" s="3" t="s">
        <v>211</v>
      </c>
      <c r="D105" s="3" t="s">
        <v>148</v>
      </c>
      <c r="E105" s="3">
        <v>5</v>
      </c>
      <c r="F105" s="5">
        <v>1699.75</v>
      </c>
      <c r="G105" s="3" t="str">
        <f>_xlfn.XLOOKUP(Sales_Table[[#This Row],[ProductID]],Products!A:A,Products!C:C,)</f>
        <v>Electronics</v>
      </c>
      <c r="H105" s="8">
        <f>VLOOKUP(D105,Products_Table[],4,FALSE)</f>
        <v>339.95</v>
      </c>
      <c r="I105" s="3" t="str">
        <f>VLOOKUP(C105,Customer_Table[],4,FALSE)</f>
        <v>United States</v>
      </c>
      <c r="J105" s="3" t="str">
        <f t="shared" si="1"/>
        <v>MATCH</v>
      </c>
    </row>
    <row r="106" spans="1:10" x14ac:dyDescent="0.25">
      <c r="A106" s="3" t="s">
        <v>212</v>
      </c>
      <c r="B106" s="4">
        <v>45411</v>
      </c>
      <c r="C106" s="3" t="s">
        <v>97</v>
      </c>
      <c r="D106" s="3" t="s">
        <v>98</v>
      </c>
      <c r="E106" s="3">
        <v>3</v>
      </c>
      <c r="F106" s="5">
        <v>395.52</v>
      </c>
      <c r="G106" s="3" t="str">
        <f>_xlfn.XLOOKUP(Sales_Table[[#This Row],[ProductID]],Products!A:A,Products!C:C,)</f>
        <v>Electronics</v>
      </c>
      <c r="H106" s="8">
        <f>VLOOKUP(D106,Products_Table[],4,FALSE)</f>
        <v>131.84</v>
      </c>
      <c r="I106" s="3" t="str">
        <f>VLOOKUP(C106,Customer_Table[],4,FALSE)</f>
        <v>United States</v>
      </c>
      <c r="J106" s="3" t="str">
        <f t="shared" si="1"/>
        <v>MATCH</v>
      </c>
    </row>
    <row r="107" spans="1:10" x14ac:dyDescent="0.25">
      <c r="A107" s="3" t="s">
        <v>213</v>
      </c>
      <c r="B107" s="4">
        <v>45405</v>
      </c>
      <c r="C107" s="3" t="s">
        <v>214</v>
      </c>
      <c r="D107" s="3" t="s">
        <v>60</v>
      </c>
      <c r="E107" s="3">
        <v>4</v>
      </c>
      <c r="F107" s="5">
        <v>365.96</v>
      </c>
      <c r="G107" s="3" t="str">
        <f>_xlfn.XLOOKUP(Sales_Table[[#This Row],[ProductID]],Products!A:A,Products!C:C,)</f>
        <v>Clothing</v>
      </c>
      <c r="H107" s="8">
        <f>VLOOKUP(D107,Products_Table[],4,FALSE)</f>
        <v>91.49</v>
      </c>
      <c r="I107" s="3" t="str">
        <f>VLOOKUP(C107,Customer_Table[],4,FALSE)</f>
        <v>United Kingdom</v>
      </c>
      <c r="J107" s="3" t="str">
        <f t="shared" si="1"/>
        <v>MATCH</v>
      </c>
    </row>
    <row r="108" spans="1:10" x14ac:dyDescent="0.25">
      <c r="A108" s="3" t="s">
        <v>215</v>
      </c>
      <c r="B108" s="4">
        <v>45422</v>
      </c>
      <c r="C108" s="3" t="s">
        <v>30</v>
      </c>
      <c r="D108" s="3" t="s">
        <v>55</v>
      </c>
      <c r="E108" s="3">
        <v>2</v>
      </c>
      <c r="F108" s="5">
        <v>261.3</v>
      </c>
      <c r="G108" s="3" t="str">
        <f>_xlfn.XLOOKUP(Sales_Table[[#This Row],[ProductID]],Products!A:A,Products!C:C,)</f>
        <v>Sports</v>
      </c>
      <c r="H108" s="8">
        <f>VLOOKUP(D108,Products_Table[],4,FALSE)</f>
        <v>130.65</v>
      </c>
      <c r="I108" s="3" t="str">
        <f>VLOOKUP(C108,Customer_Table[],4,FALSE)</f>
        <v>United Kingdom</v>
      </c>
      <c r="J108" s="3" t="str">
        <f t="shared" si="1"/>
        <v>MATCH</v>
      </c>
    </row>
    <row r="109" spans="1:10" x14ac:dyDescent="0.25">
      <c r="A109" s="3" t="s">
        <v>216</v>
      </c>
      <c r="B109" s="4">
        <v>45335</v>
      </c>
      <c r="C109" s="3" t="s">
        <v>10</v>
      </c>
      <c r="D109" s="3" t="s">
        <v>72</v>
      </c>
      <c r="E109" s="3">
        <v>4</v>
      </c>
      <c r="F109" s="5">
        <v>866.88</v>
      </c>
      <c r="G109" s="3" t="str">
        <f>_xlfn.XLOOKUP(Sales_Table[[#This Row],[ProductID]],Products!A:A,Products!C:C,)</f>
        <v>Clothing</v>
      </c>
      <c r="H109" s="8">
        <f>VLOOKUP(D109,Products_Table[],4,FALSE)</f>
        <v>216.72</v>
      </c>
      <c r="I109" s="3" t="str">
        <f>VLOOKUP(C109,Customer_Table[],4,FALSE)</f>
        <v>India</v>
      </c>
      <c r="J109" s="3" t="str">
        <f t="shared" si="1"/>
        <v>MATCH</v>
      </c>
    </row>
    <row r="110" spans="1:10" x14ac:dyDescent="0.25">
      <c r="A110" s="3" t="s">
        <v>217</v>
      </c>
      <c r="B110" s="4">
        <v>45364</v>
      </c>
      <c r="C110" s="3" t="s">
        <v>218</v>
      </c>
      <c r="D110" s="3" t="s">
        <v>44</v>
      </c>
      <c r="E110" s="3">
        <v>1</v>
      </c>
      <c r="F110" s="5">
        <v>272.77999999999997</v>
      </c>
      <c r="G110" s="3" t="str">
        <f>_xlfn.XLOOKUP(Sales_Table[[#This Row],[ProductID]],Products!A:A,Products!C:C,)</f>
        <v>Clothing</v>
      </c>
      <c r="H110" s="8">
        <f>VLOOKUP(D110,Products_Table[],4,FALSE)</f>
        <v>272.77999999999997</v>
      </c>
      <c r="I110" s="3" t="str">
        <f>VLOOKUP(C110,Customer_Table[],4,FALSE)</f>
        <v>United States</v>
      </c>
      <c r="J110" s="3" t="str">
        <f t="shared" si="1"/>
        <v>MATCH</v>
      </c>
    </row>
    <row r="111" spans="1:10" x14ac:dyDescent="0.25">
      <c r="A111" s="3" t="s">
        <v>219</v>
      </c>
      <c r="B111" s="4">
        <v>45461</v>
      </c>
      <c r="C111" s="3" t="s">
        <v>182</v>
      </c>
      <c r="D111" s="3" t="s">
        <v>196</v>
      </c>
      <c r="E111" s="3">
        <v>5</v>
      </c>
      <c r="F111" s="5">
        <v>1229.3499999999999</v>
      </c>
      <c r="G111" s="3" t="str">
        <f>_xlfn.XLOOKUP(Sales_Table[[#This Row],[ProductID]],Products!A:A,Products!C:C,)</f>
        <v>Beauty</v>
      </c>
      <c r="H111" s="8">
        <f>VLOOKUP(D111,Products_Table[],4,FALSE)</f>
        <v>245.87</v>
      </c>
      <c r="I111" s="3" t="str">
        <f>VLOOKUP(C111,Customer_Table[],4,FALSE)</f>
        <v>Canada</v>
      </c>
      <c r="J111" s="3" t="str">
        <f t="shared" si="1"/>
        <v>MATCH</v>
      </c>
    </row>
    <row r="112" spans="1:10" x14ac:dyDescent="0.25">
      <c r="A112" s="3" t="s">
        <v>220</v>
      </c>
      <c r="B112" s="4">
        <v>45377</v>
      </c>
      <c r="C112" s="3" t="s">
        <v>111</v>
      </c>
      <c r="D112" s="3" t="s">
        <v>68</v>
      </c>
      <c r="E112" s="3">
        <v>5</v>
      </c>
      <c r="F112" s="5">
        <v>2011.45</v>
      </c>
      <c r="G112" s="3" t="str">
        <f>_xlfn.XLOOKUP(Sales_Table[[#This Row],[ProductID]],Products!A:A,Products!C:C,)</f>
        <v>Home</v>
      </c>
      <c r="H112" s="8">
        <f>VLOOKUP(D112,Products_Table[],4,FALSE)</f>
        <v>402.29</v>
      </c>
      <c r="I112" s="3" t="str">
        <f>VLOOKUP(C112,Customer_Table[],4,FALSE)</f>
        <v>United Kingdom</v>
      </c>
      <c r="J112" s="3" t="str">
        <f t="shared" si="1"/>
        <v>MATCH</v>
      </c>
    </row>
    <row r="113" spans="1:10" x14ac:dyDescent="0.25">
      <c r="A113" s="3" t="s">
        <v>221</v>
      </c>
      <c r="B113" s="4">
        <v>45352</v>
      </c>
      <c r="C113" s="3" t="s">
        <v>222</v>
      </c>
      <c r="D113" s="3" t="s">
        <v>28</v>
      </c>
      <c r="E113" s="3">
        <v>1</v>
      </c>
      <c r="F113" s="5">
        <v>452.2</v>
      </c>
      <c r="G113" s="3" t="str">
        <f>_xlfn.XLOOKUP(Sales_Table[[#This Row],[ProductID]],Products!A:A,Products!C:C,)</f>
        <v>Beauty</v>
      </c>
      <c r="H113" s="8">
        <f>VLOOKUP(D113,Products_Table[],4,FALSE)</f>
        <v>452.2</v>
      </c>
      <c r="I113" s="3" t="str">
        <f>VLOOKUP(C113,Customer_Table[],4,FALSE)</f>
        <v>India</v>
      </c>
      <c r="J113" s="3" t="str">
        <f t="shared" si="1"/>
        <v>MATCH</v>
      </c>
    </row>
    <row r="114" spans="1:10" x14ac:dyDescent="0.25">
      <c r="A114" s="3" t="s">
        <v>223</v>
      </c>
      <c r="B114" s="4">
        <v>45349</v>
      </c>
      <c r="C114" s="3" t="s">
        <v>188</v>
      </c>
      <c r="D114" s="3" t="s">
        <v>28</v>
      </c>
      <c r="E114" s="3">
        <v>3</v>
      </c>
      <c r="F114" s="5">
        <v>1356.6</v>
      </c>
      <c r="G114" s="3" t="str">
        <f>_xlfn.XLOOKUP(Sales_Table[[#This Row],[ProductID]],Products!A:A,Products!C:C,)</f>
        <v>Beauty</v>
      </c>
      <c r="H114" s="8">
        <f>VLOOKUP(D114,Products_Table[],4,FALSE)</f>
        <v>452.2</v>
      </c>
      <c r="I114" s="3" t="str">
        <f>VLOOKUP(C114,Customer_Table[],4,FALSE)</f>
        <v>United Kingdom</v>
      </c>
      <c r="J114" s="3" t="str">
        <f t="shared" si="1"/>
        <v>MATCH</v>
      </c>
    </row>
    <row r="115" spans="1:10" x14ac:dyDescent="0.25">
      <c r="A115" s="3" t="s">
        <v>224</v>
      </c>
      <c r="B115" s="4">
        <v>45329</v>
      </c>
      <c r="C115" s="3" t="s">
        <v>198</v>
      </c>
      <c r="D115" s="3" t="s">
        <v>225</v>
      </c>
      <c r="E115" s="3">
        <v>2</v>
      </c>
      <c r="F115" s="5">
        <v>927.84</v>
      </c>
      <c r="G115" s="3" t="str">
        <f>_xlfn.XLOOKUP(Sales_Table[[#This Row],[ProductID]],Products!A:A,Products!C:C,)</f>
        <v>Electronics</v>
      </c>
      <c r="H115" s="8">
        <f>VLOOKUP(D115,Products_Table[],4,FALSE)</f>
        <v>463.92</v>
      </c>
      <c r="I115" s="3" t="str">
        <f>VLOOKUP(C115,Customer_Table[],4,FALSE)</f>
        <v>United Kingdom</v>
      </c>
      <c r="J115" s="3" t="str">
        <f t="shared" si="1"/>
        <v>MATCH</v>
      </c>
    </row>
    <row r="116" spans="1:10" x14ac:dyDescent="0.25">
      <c r="A116" s="3" t="s">
        <v>226</v>
      </c>
      <c r="B116" s="4">
        <v>45303</v>
      </c>
      <c r="C116" s="3" t="s">
        <v>131</v>
      </c>
      <c r="D116" s="3" t="s">
        <v>98</v>
      </c>
      <c r="E116" s="3">
        <v>1</v>
      </c>
      <c r="F116" s="5">
        <v>131.84</v>
      </c>
      <c r="G116" s="3" t="str">
        <f>_xlfn.XLOOKUP(Sales_Table[[#This Row],[ProductID]],Products!A:A,Products!C:C,)</f>
        <v>Electronics</v>
      </c>
      <c r="H116" s="8">
        <f>VLOOKUP(D116,Products_Table[],4,FALSE)</f>
        <v>131.84</v>
      </c>
      <c r="I116" s="3" t="str">
        <f>VLOOKUP(C116,Customer_Table[],4,FALSE)</f>
        <v>Canada</v>
      </c>
      <c r="J116" s="3" t="str">
        <f t="shared" si="1"/>
        <v>MATCH</v>
      </c>
    </row>
    <row r="117" spans="1:10" x14ac:dyDescent="0.25">
      <c r="A117" s="3" t="s">
        <v>227</v>
      </c>
      <c r="B117" s="4">
        <v>45413</v>
      </c>
      <c r="C117" s="3" t="s">
        <v>120</v>
      </c>
      <c r="D117" s="3" t="s">
        <v>63</v>
      </c>
      <c r="E117" s="3">
        <v>2</v>
      </c>
      <c r="F117" s="5">
        <v>115.96</v>
      </c>
      <c r="G117" s="3" t="str">
        <f>_xlfn.XLOOKUP(Sales_Table[[#This Row],[ProductID]],Products!A:A,Products!C:C,)</f>
        <v>Sports</v>
      </c>
      <c r="H117" s="8">
        <f>VLOOKUP(D117,Products_Table[],4,FALSE)</f>
        <v>57.98</v>
      </c>
      <c r="I117" s="3" t="str">
        <f>VLOOKUP(C117,Customer_Table[],4,FALSE)</f>
        <v>United Kingdom</v>
      </c>
      <c r="J117" s="3" t="str">
        <f t="shared" si="1"/>
        <v>MATCH</v>
      </c>
    </row>
    <row r="118" spans="1:10" x14ac:dyDescent="0.25">
      <c r="A118" s="3" t="s">
        <v>228</v>
      </c>
      <c r="B118" s="4">
        <v>45310</v>
      </c>
      <c r="C118" s="3" t="s">
        <v>229</v>
      </c>
      <c r="D118" s="3" t="s">
        <v>132</v>
      </c>
      <c r="E118" s="3">
        <v>5</v>
      </c>
      <c r="F118" s="5">
        <v>1689</v>
      </c>
      <c r="G118" s="3" t="str">
        <f>_xlfn.XLOOKUP(Sales_Table[[#This Row],[ProductID]],Products!A:A,Products!C:C,)</f>
        <v>Home</v>
      </c>
      <c r="H118" s="8">
        <f>VLOOKUP(D118,Products_Table[],4,FALSE)</f>
        <v>337.8</v>
      </c>
      <c r="I118" s="3" t="str">
        <f>VLOOKUP(C118,Customer_Table[],4,FALSE)</f>
        <v>United Kingdom</v>
      </c>
      <c r="J118" s="3" t="str">
        <f t="shared" si="1"/>
        <v>MATCH</v>
      </c>
    </row>
    <row r="119" spans="1:10" x14ac:dyDescent="0.25">
      <c r="A119" s="3" t="s">
        <v>230</v>
      </c>
      <c r="B119" s="4">
        <v>45398</v>
      </c>
      <c r="C119" s="3" t="s">
        <v>95</v>
      </c>
      <c r="D119" s="3" t="s">
        <v>231</v>
      </c>
      <c r="E119" s="3">
        <v>4</v>
      </c>
      <c r="F119" s="5">
        <v>974.52</v>
      </c>
      <c r="G119" s="3" t="str">
        <f>_xlfn.XLOOKUP(Sales_Table[[#This Row],[ProductID]],Products!A:A,Products!C:C,)</f>
        <v>Sports</v>
      </c>
      <c r="H119" s="8">
        <f>VLOOKUP(D119,Products_Table[],4,FALSE)</f>
        <v>243.63</v>
      </c>
      <c r="I119" s="3" t="str">
        <f>VLOOKUP(C119,Customer_Table[],4,FALSE)</f>
        <v>United Kingdom</v>
      </c>
      <c r="J119" s="3" t="str">
        <f t="shared" si="1"/>
        <v>MATCH</v>
      </c>
    </row>
    <row r="120" spans="1:10" x14ac:dyDescent="0.25">
      <c r="A120" s="3" t="s">
        <v>232</v>
      </c>
      <c r="B120" s="4">
        <v>45341</v>
      </c>
      <c r="C120" s="3" t="s">
        <v>233</v>
      </c>
      <c r="D120" s="3" t="s">
        <v>72</v>
      </c>
      <c r="E120" s="3">
        <v>5</v>
      </c>
      <c r="F120" s="5">
        <v>1083.5999999999999</v>
      </c>
      <c r="G120" s="3" t="str">
        <f>_xlfn.XLOOKUP(Sales_Table[[#This Row],[ProductID]],Products!A:A,Products!C:C,)</f>
        <v>Clothing</v>
      </c>
      <c r="H120" s="8">
        <f>VLOOKUP(D120,Products_Table[],4,FALSE)</f>
        <v>216.72</v>
      </c>
      <c r="I120" s="3" t="str">
        <f>VLOOKUP(C120,Customer_Table[],4,FALSE)</f>
        <v>India</v>
      </c>
      <c r="J120" s="3" t="str">
        <f t="shared" si="1"/>
        <v>MATCH</v>
      </c>
    </row>
    <row r="121" spans="1:10" x14ac:dyDescent="0.25">
      <c r="A121" s="3" t="s">
        <v>234</v>
      </c>
      <c r="B121" s="4">
        <v>45418</v>
      </c>
      <c r="C121" s="3" t="s">
        <v>235</v>
      </c>
      <c r="D121" s="3" t="s">
        <v>124</v>
      </c>
      <c r="E121" s="3">
        <v>4</v>
      </c>
      <c r="F121" s="5">
        <v>158.80000000000001</v>
      </c>
      <c r="G121" s="3" t="str">
        <f>_xlfn.XLOOKUP(Sales_Table[[#This Row],[ProductID]],Products!A:A,Products!C:C,)</f>
        <v>Electronics</v>
      </c>
      <c r="H121" s="8">
        <f>VLOOKUP(D121,Products_Table[],4,FALSE)</f>
        <v>39.700000000000003</v>
      </c>
      <c r="I121" s="3" t="str">
        <f>VLOOKUP(C121,Customer_Table[],4,FALSE)</f>
        <v>United States</v>
      </c>
      <c r="J121" s="3" t="str">
        <f t="shared" si="1"/>
        <v>MATCH</v>
      </c>
    </row>
    <row r="122" spans="1:10" x14ac:dyDescent="0.25">
      <c r="A122" s="3" t="s">
        <v>236</v>
      </c>
      <c r="B122" s="4">
        <v>45354</v>
      </c>
      <c r="C122" s="3" t="s">
        <v>116</v>
      </c>
      <c r="D122" s="3" t="s">
        <v>146</v>
      </c>
      <c r="E122" s="3">
        <v>4</v>
      </c>
      <c r="F122" s="5">
        <v>1331.6</v>
      </c>
      <c r="G122" s="3" t="str">
        <f>_xlfn.XLOOKUP(Sales_Table[[#This Row],[ProductID]],Products!A:A,Products!C:C,)</f>
        <v>Electronics</v>
      </c>
      <c r="H122" s="8">
        <f>VLOOKUP(D122,Products_Table[],4,FALSE)</f>
        <v>332.9</v>
      </c>
      <c r="I122" s="3" t="str">
        <f>VLOOKUP(C122,Customer_Table[],4,FALSE)</f>
        <v>United Kingdom</v>
      </c>
      <c r="J122" s="3" t="str">
        <f t="shared" si="1"/>
        <v>MATCH</v>
      </c>
    </row>
    <row r="123" spans="1:10" x14ac:dyDescent="0.25">
      <c r="A123" s="3" t="s">
        <v>237</v>
      </c>
      <c r="B123" s="4">
        <v>45459</v>
      </c>
      <c r="C123" s="3" t="s">
        <v>238</v>
      </c>
      <c r="D123" s="3" t="s">
        <v>11</v>
      </c>
      <c r="E123" s="3">
        <v>2</v>
      </c>
      <c r="F123" s="5">
        <v>79.739999999999995</v>
      </c>
      <c r="G123" s="3" t="str">
        <f>_xlfn.XLOOKUP(Sales_Table[[#This Row],[ProductID]],Products!A:A,Products!C:C,)</f>
        <v>Sports</v>
      </c>
      <c r="H123" s="8">
        <f>VLOOKUP(D123,Products_Table[],4,FALSE)</f>
        <v>39.869999999999997</v>
      </c>
      <c r="I123" s="3" t="str">
        <f>VLOOKUP(C123,Customer_Table[],4,FALSE)</f>
        <v>United Kingdom</v>
      </c>
      <c r="J123" s="3" t="str">
        <f t="shared" si="1"/>
        <v>MATCH</v>
      </c>
    </row>
    <row r="124" spans="1:10" x14ac:dyDescent="0.25">
      <c r="A124" s="3" t="s">
        <v>239</v>
      </c>
      <c r="B124" s="4">
        <v>45319</v>
      </c>
      <c r="C124" s="3" t="s">
        <v>48</v>
      </c>
      <c r="D124" s="3" t="s">
        <v>231</v>
      </c>
      <c r="E124" s="3">
        <v>1</v>
      </c>
      <c r="F124" s="5">
        <v>243.63</v>
      </c>
      <c r="G124" s="3" t="str">
        <f>_xlfn.XLOOKUP(Sales_Table[[#This Row],[ProductID]],Products!A:A,Products!C:C,)</f>
        <v>Sports</v>
      </c>
      <c r="H124" s="8">
        <f>VLOOKUP(D124,Products_Table[],4,FALSE)</f>
        <v>243.63</v>
      </c>
      <c r="I124" s="3" t="str">
        <f>VLOOKUP(C124,Customer_Table[],4,FALSE)</f>
        <v>Canada</v>
      </c>
      <c r="J124" s="3" t="str">
        <f t="shared" si="1"/>
        <v>MATCH</v>
      </c>
    </row>
    <row r="125" spans="1:10" x14ac:dyDescent="0.25">
      <c r="A125" s="3" t="s">
        <v>240</v>
      </c>
      <c r="B125" s="4">
        <v>45348</v>
      </c>
      <c r="C125" s="3" t="s">
        <v>241</v>
      </c>
      <c r="D125" s="3" t="s">
        <v>136</v>
      </c>
      <c r="E125" s="3">
        <v>4</v>
      </c>
      <c r="F125" s="5">
        <v>1724.88</v>
      </c>
      <c r="G125" s="3" t="str">
        <f>_xlfn.XLOOKUP(Sales_Table[[#This Row],[ProductID]],Products!A:A,Products!C:C,)</f>
        <v>Electronics</v>
      </c>
      <c r="H125" s="8">
        <f>VLOOKUP(D125,Products_Table[],4,FALSE)</f>
        <v>431.22</v>
      </c>
      <c r="I125" s="3" t="str">
        <f>VLOOKUP(C125,Customer_Table[],4,FALSE)</f>
        <v>United States</v>
      </c>
      <c r="J125" s="3" t="str">
        <f t="shared" si="1"/>
        <v>MATCH</v>
      </c>
    </row>
    <row r="126" spans="1:10" x14ac:dyDescent="0.25">
      <c r="A126" s="3" t="s">
        <v>242</v>
      </c>
      <c r="B126" s="4">
        <v>45470</v>
      </c>
      <c r="C126" s="3" t="s">
        <v>243</v>
      </c>
      <c r="D126" s="3" t="s">
        <v>72</v>
      </c>
      <c r="E126" s="3">
        <v>2</v>
      </c>
      <c r="F126" s="5">
        <v>433.44</v>
      </c>
      <c r="G126" s="3" t="str">
        <f>_xlfn.XLOOKUP(Sales_Table[[#This Row],[ProductID]],Products!A:A,Products!C:C,)</f>
        <v>Clothing</v>
      </c>
      <c r="H126" s="8">
        <f>VLOOKUP(D126,Products_Table[],4,FALSE)</f>
        <v>216.72</v>
      </c>
      <c r="I126" s="3" t="str">
        <f>VLOOKUP(C126,Customer_Table[],4,FALSE)</f>
        <v>India</v>
      </c>
      <c r="J126" s="3" t="str">
        <f t="shared" si="1"/>
        <v>MATCH</v>
      </c>
    </row>
    <row r="127" spans="1:10" x14ac:dyDescent="0.25">
      <c r="A127" s="3" t="s">
        <v>244</v>
      </c>
      <c r="B127" s="4">
        <v>45410</v>
      </c>
      <c r="C127" s="3" t="s">
        <v>245</v>
      </c>
      <c r="D127" s="3" t="s">
        <v>52</v>
      </c>
      <c r="E127" s="3">
        <v>5</v>
      </c>
      <c r="F127" s="5">
        <v>429.25</v>
      </c>
      <c r="G127" s="3" t="str">
        <f>_xlfn.XLOOKUP(Sales_Table[[#This Row],[ProductID]],Products!A:A,Products!C:C,)</f>
        <v>Beauty</v>
      </c>
      <c r="H127" s="8">
        <f>VLOOKUP(D127,Products_Table[],4,FALSE)</f>
        <v>85.85</v>
      </c>
      <c r="I127" s="3" t="str">
        <f>VLOOKUP(C127,Customer_Table[],4,FALSE)</f>
        <v>United Kingdom</v>
      </c>
      <c r="J127" s="3" t="str">
        <f t="shared" si="1"/>
        <v>MATCH</v>
      </c>
    </row>
    <row r="128" spans="1:10" x14ac:dyDescent="0.25">
      <c r="A128" s="3" t="s">
        <v>246</v>
      </c>
      <c r="B128" s="4">
        <v>45434</v>
      </c>
      <c r="C128" s="3" t="s">
        <v>247</v>
      </c>
      <c r="D128" s="3" t="s">
        <v>49</v>
      </c>
      <c r="E128" s="3">
        <v>1</v>
      </c>
      <c r="F128" s="5">
        <v>293.8</v>
      </c>
      <c r="G128" s="3" t="str">
        <f>_xlfn.XLOOKUP(Sales_Table[[#This Row],[ProductID]],Products!A:A,Products!C:C,)</f>
        <v>Electronics</v>
      </c>
      <c r="H128" s="8">
        <f>VLOOKUP(D128,Products_Table[],4,FALSE)</f>
        <v>293.8</v>
      </c>
      <c r="I128" s="3" t="str">
        <f>VLOOKUP(C128,Customer_Table[],4,FALSE)</f>
        <v>United States</v>
      </c>
      <c r="J128" s="3" t="str">
        <f t="shared" si="1"/>
        <v>MATCH</v>
      </c>
    </row>
    <row r="129" spans="1:10" x14ac:dyDescent="0.25">
      <c r="A129" s="3" t="s">
        <v>248</v>
      </c>
      <c r="B129" s="4">
        <v>45323</v>
      </c>
      <c r="C129" s="3" t="s">
        <v>249</v>
      </c>
      <c r="D129" s="3" t="s">
        <v>26</v>
      </c>
      <c r="E129" s="3">
        <v>2</v>
      </c>
      <c r="F129" s="5">
        <v>299.54000000000002</v>
      </c>
      <c r="G129" s="3" t="str">
        <f>_xlfn.XLOOKUP(Sales_Table[[#This Row],[ProductID]],Products!A:A,Products!C:C,)</f>
        <v>Beauty</v>
      </c>
      <c r="H129" s="8">
        <f>VLOOKUP(D129,Products_Table[],4,FALSE)</f>
        <v>149.77000000000001</v>
      </c>
      <c r="I129" s="3" t="str">
        <f>VLOOKUP(C129,Customer_Table[],4,FALSE)</f>
        <v>Canada</v>
      </c>
      <c r="J129" s="3" t="str">
        <f t="shared" si="1"/>
        <v>MATCH</v>
      </c>
    </row>
    <row r="130" spans="1:10" x14ac:dyDescent="0.25">
      <c r="A130" s="3" t="s">
        <v>250</v>
      </c>
      <c r="B130" s="4">
        <v>45326</v>
      </c>
      <c r="C130" s="3" t="s">
        <v>185</v>
      </c>
      <c r="D130" s="3" t="s">
        <v>136</v>
      </c>
      <c r="E130" s="3">
        <v>4</v>
      </c>
      <c r="F130" s="5">
        <v>1724.88</v>
      </c>
      <c r="G130" s="3" t="str">
        <f>_xlfn.XLOOKUP(Sales_Table[[#This Row],[ProductID]],Products!A:A,Products!C:C,)</f>
        <v>Electronics</v>
      </c>
      <c r="H130" s="8">
        <f>VLOOKUP(D130,Products_Table[],4,FALSE)</f>
        <v>431.22</v>
      </c>
      <c r="I130" s="3" t="str">
        <f>VLOOKUP(C130,Customer_Table[],4,FALSE)</f>
        <v>India</v>
      </c>
      <c r="J130" s="3" t="str">
        <f t="shared" ref="J130:J193" si="2">IF($E$2*$H$2=$F$2,"MATCH","DESCREPANCY")</f>
        <v>MATCH</v>
      </c>
    </row>
    <row r="131" spans="1:10" x14ac:dyDescent="0.25">
      <c r="A131" s="3" t="s">
        <v>251</v>
      </c>
      <c r="B131" s="4">
        <v>45462</v>
      </c>
      <c r="C131" s="3" t="s">
        <v>198</v>
      </c>
      <c r="D131" s="3" t="s">
        <v>108</v>
      </c>
      <c r="E131" s="3">
        <v>4</v>
      </c>
      <c r="F131" s="5">
        <v>197</v>
      </c>
      <c r="G131" s="3" t="str">
        <f>_xlfn.XLOOKUP(Sales_Table[[#This Row],[ProductID]],Products!A:A,Products!C:C,)</f>
        <v>Sports</v>
      </c>
      <c r="H131" s="8">
        <f>VLOOKUP(D131,Products_Table[],4,FALSE)</f>
        <v>49.25</v>
      </c>
      <c r="I131" s="3" t="str">
        <f>VLOOKUP(C131,Customer_Table[],4,FALSE)</f>
        <v>United Kingdom</v>
      </c>
      <c r="J131" s="3" t="str">
        <f t="shared" si="2"/>
        <v>MATCH</v>
      </c>
    </row>
    <row r="132" spans="1:10" x14ac:dyDescent="0.25">
      <c r="A132" s="3" t="s">
        <v>252</v>
      </c>
      <c r="B132" s="4">
        <v>45435</v>
      </c>
      <c r="C132" s="3" t="s">
        <v>176</v>
      </c>
      <c r="D132" s="3" t="s">
        <v>122</v>
      </c>
      <c r="E132" s="3">
        <v>5</v>
      </c>
      <c r="F132" s="5">
        <v>435.7</v>
      </c>
      <c r="G132" s="3" t="str">
        <f>_xlfn.XLOOKUP(Sales_Table[[#This Row],[ProductID]],Products!A:A,Products!C:C,)</f>
        <v>Sports</v>
      </c>
      <c r="H132" s="8">
        <f>VLOOKUP(D132,Products_Table[],4,FALSE)</f>
        <v>87.14</v>
      </c>
      <c r="I132" s="3" t="str">
        <f>VLOOKUP(C132,Customer_Table[],4,FALSE)</f>
        <v>United Kingdom</v>
      </c>
      <c r="J132" s="3" t="str">
        <f t="shared" si="2"/>
        <v>MATCH</v>
      </c>
    </row>
    <row r="133" spans="1:10" x14ac:dyDescent="0.25">
      <c r="A133" s="3" t="s">
        <v>253</v>
      </c>
      <c r="B133" s="4">
        <v>45373</v>
      </c>
      <c r="C133" s="3" t="s">
        <v>57</v>
      </c>
      <c r="D133" s="3" t="s">
        <v>72</v>
      </c>
      <c r="E133" s="3">
        <v>5</v>
      </c>
      <c r="F133" s="5">
        <v>1083.5999999999999</v>
      </c>
      <c r="G133" s="3" t="str">
        <f>_xlfn.XLOOKUP(Sales_Table[[#This Row],[ProductID]],Products!A:A,Products!C:C,)</f>
        <v>Clothing</v>
      </c>
      <c r="H133" s="8">
        <f>VLOOKUP(D133,Products_Table[],4,FALSE)</f>
        <v>216.72</v>
      </c>
      <c r="I133" s="3" t="str">
        <f>VLOOKUP(C133,Customer_Table[],4,FALSE)</f>
        <v>United Kingdom</v>
      </c>
      <c r="J133" s="3" t="str">
        <f t="shared" si="2"/>
        <v>MATCH</v>
      </c>
    </row>
    <row r="134" spans="1:10" x14ac:dyDescent="0.25">
      <c r="A134" s="3" t="s">
        <v>254</v>
      </c>
      <c r="B134" s="4">
        <v>45448</v>
      </c>
      <c r="C134" s="3" t="s">
        <v>255</v>
      </c>
      <c r="D134" s="3" t="s">
        <v>178</v>
      </c>
      <c r="E134" s="3">
        <v>4</v>
      </c>
      <c r="F134" s="5">
        <v>870.2</v>
      </c>
      <c r="G134" s="3" t="str">
        <f>_xlfn.XLOOKUP(Sales_Table[[#This Row],[ProductID]],Products!A:A,Products!C:C,)</f>
        <v>Home</v>
      </c>
      <c r="H134" s="8">
        <f>VLOOKUP(D134,Products_Table[],4,FALSE)</f>
        <v>217.55</v>
      </c>
      <c r="I134" s="3" t="str">
        <f>VLOOKUP(C134,Customer_Table[],4,FALSE)</f>
        <v>India</v>
      </c>
      <c r="J134" s="3" t="str">
        <f t="shared" si="2"/>
        <v>MATCH</v>
      </c>
    </row>
    <row r="135" spans="1:10" x14ac:dyDescent="0.25">
      <c r="A135" s="3" t="s">
        <v>256</v>
      </c>
      <c r="B135" s="4">
        <v>45401</v>
      </c>
      <c r="C135" s="3" t="s">
        <v>76</v>
      </c>
      <c r="D135" s="3" t="s">
        <v>122</v>
      </c>
      <c r="E135" s="3">
        <v>5</v>
      </c>
      <c r="F135" s="5">
        <v>435.7</v>
      </c>
      <c r="G135" s="3" t="str">
        <f>_xlfn.XLOOKUP(Sales_Table[[#This Row],[ProductID]],Products!A:A,Products!C:C,)</f>
        <v>Sports</v>
      </c>
      <c r="H135" s="8">
        <f>VLOOKUP(D135,Products_Table[],4,FALSE)</f>
        <v>87.14</v>
      </c>
      <c r="I135" s="3" t="str">
        <f>VLOOKUP(C135,Customer_Table[],4,FALSE)</f>
        <v>United Kingdom</v>
      </c>
      <c r="J135" s="3" t="str">
        <f t="shared" si="2"/>
        <v>MATCH</v>
      </c>
    </row>
    <row r="136" spans="1:10" x14ac:dyDescent="0.25">
      <c r="A136" s="3" t="s">
        <v>257</v>
      </c>
      <c r="B136" s="4">
        <v>45406</v>
      </c>
      <c r="C136" s="3" t="s">
        <v>258</v>
      </c>
      <c r="D136" s="3" t="s">
        <v>129</v>
      </c>
      <c r="E136" s="3">
        <v>5</v>
      </c>
      <c r="F136" s="5">
        <v>583.35</v>
      </c>
      <c r="G136" s="3" t="str">
        <f>_xlfn.XLOOKUP(Sales_Table[[#This Row],[ProductID]],Products!A:A,Products!C:C,)</f>
        <v>Home</v>
      </c>
      <c r="H136" s="8">
        <f>VLOOKUP(D136,Products_Table[],4,FALSE)</f>
        <v>116.67</v>
      </c>
      <c r="I136" s="3" t="str">
        <f>VLOOKUP(C136,Customer_Table[],4,FALSE)</f>
        <v>Canada</v>
      </c>
      <c r="J136" s="3" t="str">
        <f t="shared" si="2"/>
        <v>MATCH</v>
      </c>
    </row>
    <row r="137" spans="1:10" x14ac:dyDescent="0.25">
      <c r="A137" s="3" t="s">
        <v>259</v>
      </c>
      <c r="B137" s="4">
        <v>45413</v>
      </c>
      <c r="C137" s="3" t="s">
        <v>113</v>
      </c>
      <c r="D137" s="3" t="s">
        <v>260</v>
      </c>
      <c r="E137" s="3">
        <v>2</v>
      </c>
      <c r="F137" s="5">
        <v>391.4</v>
      </c>
      <c r="G137" s="3" t="str">
        <f>_xlfn.XLOOKUP(Sales_Table[[#This Row],[ProductID]],Products!A:A,Products!C:C,)</f>
        <v>Clothing</v>
      </c>
      <c r="H137" s="8">
        <f>VLOOKUP(D137,Products_Table[],4,FALSE)</f>
        <v>195.7</v>
      </c>
      <c r="I137" s="3" t="str">
        <f>VLOOKUP(C137,Customer_Table[],4,FALSE)</f>
        <v>India</v>
      </c>
      <c r="J137" s="3" t="str">
        <f t="shared" si="2"/>
        <v>MATCH</v>
      </c>
    </row>
    <row r="138" spans="1:10" x14ac:dyDescent="0.25">
      <c r="A138" s="3" t="s">
        <v>261</v>
      </c>
      <c r="B138" s="4">
        <v>45358</v>
      </c>
      <c r="C138" s="3" t="s">
        <v>182</v>
      </c>
      <c r="D138" s="3" t="s">
        <v>114</v>
      </c>
      <c r="E138" s="3">
        <v>4</v>
      </c>
      <c r="F138" s="5">
        <v>908.52</v>
      </c>
      <c r="G138" s="3" t="str">
        <f>_xlfn.XLOOKUP(Sales_Table[[#This Row],[ProductID]],Products!A:A,Products!C:C,)</f>
        <v>Electronics</v>
      </c>
      <c r="H138" s="8">
        <f>VLOOKUP(D138,Products_Table[],4,FALSE)</f>
        <v>227.13</v>
      </c>
      <c r="I138" s="3" t="str">
        <f>VLOOKUP(C138,Customer_Table[],4,FALSE)</f>
        <v>Canada</v>
      </c>
      <c r="J138" s="3" t="str">
        <f t="shared" si="2"/>
        <v>MATCH</v>
      </c>
    </row>
    <row r="139" spans="1:10" x14ac:dyDescent="0.25">
      <c r="A139" s="3" t="s">
        <v>262</v>
      </c>
      <c r="B139" s="4">
        <v>45455</v>
      </c>
      <c r="C139" s="3" t="s">
        <v>101</v>
      </c>
      <c r="D139" s="3" t="s">
        <v>178</v>
      </c>
      <c r="E139" s="3">
        <v>2</v>
      </c>
      <c r="F139" s="5">
        <v>435.1</v>
      </c>
      <c r="G139" s="3" t="str">
        <f>_xlfn.XLOOKUP(Sales_Table[[#This Row],[ProductID]],Products!A:A,Products!C:C,)</f>
        <v>Home</v>
      </c>
      <c r="H139" s="8">
        <f>VLOOKUP(D139,Products_Table[],4,FALSE)</f>
        <v>217.55</v>
      </c>
      <c r="I139" s="3" t="str">
        <f>VLOOKUP(C139,Customer_Table[],4,FALSE)</f>
        <v>United States</v>
      </c>
      <c r="J139" s="3" t="str">
        <f t="shared" si="2"/>
        <v>MATCH</v>
      </c>
    </row>
    <row r="140" spans="1:10" x14ac:dyDescent="0.25">
      <c r="A140" s="3" t="s">
        <v>263</v>
      </c>
      <c r="B140" s="4">
        <v>45425</v>
      </c>
      <c r="C140" s="3" t="s">
        <v>264</v>
      </c>
      <c r="D140" s="3" t="s">
        <v>68</v>
      </c>
      <c r="E140" s="3">
        <v>3</v>
      </c>
      <c r="F140" s="5">
        <v>1206.8699999999999</v>
      </c>
      <c r="G140" s="3" t="str">
        <f>_xlfn.XLOOKUP(Sales_Table[[#This Row],[ProductID]],Products!A:A,Products!C:C,)</f>
        <v>Home</v>
      </c>
      <c r="H140" s="8">
        <f>VLOOKUP(D140,Products_Table[],4,FALSE)</f>
        <v>402.29</v>
      </c>
      <c r="I140" s="3" t="str">
        <f>VLOOKUP(C140,Customer_Table[],4,FALSE)</f>
        <v>Canada</v>
      </c>
      <c r="J140" s="3" t="str">
        <f t="shared" si="2"/>
        <v>MATCH</v>
      </c>
    </row>
    <row r="141" spans="1:10" x14ac:dyDescent="0.25">
      <c r="A141" s="3" t="s">
        <v>265</v>
      </c>
      <c r="B141" s="4">
        <v>45452</v>
      </c>
      <c r="C141" s="3" t="s">
        <v>150</v>
      </c>
      <c r="D141" s="3" t="s">
        <v>231</v>
      </c>
      <c r="E141" s="3">
        <v>4</v>
      </c>
      <c r="F141" s="5">
        <v>974.52</v>
      </c>
      <c r="G141" s="3" t="str">
        <f>_xlfn.XLOOKUP(Sales_Table[[#This Row],[ProductID]],Products!A:A,Products!C:C,)</f>
        <v>Sports</v>
      </c>
      <c r="H141" s="8">
        <f>VLOOKUP(D141,Products_Table[],4,FALSE)</f>
        <v>243.63</v>
      </c>
      <c r="I141" s="3" t="str">
        <f>VLOOKUP(C141,Customer_Table[],4,FALSE)</f>
        <v>United Kingdom</v>
      </c>
      <c r="J141" s="3" t="str">
        <f t="shared" si="2"/>
        <v>MATCH</v>
      </c>
    </row>
    <row r="142" spans="1:10" x14ac:dyDescent="0.25">
      <c r="A142" s="3" t="s">
        <v>266</v>
      </c>
      <c r="B142" s="4">
        <v>45362</v>
      </c>
      <c r="C142" s="3" t="s">
        <v>93</v>
      </c>
      <c r="D142" s="3" t="s">
        <v>49</v>
      </c>
      <c r="E142" s="3">
        <v>2</v>
      </c>
      <c r="F142" s="5">
        <v>587.6</v>
      </c>
      <c r="G142" s="3" t="str">
        <f>_xlfn.XLOOKUP(Sales_Table[[#This Row],[ProductID]],Products!A:A,Products!C:C,)</f>
        <v>Electronics</v>
      </c>
      <c r="H142" s="8">
        <f>VLOOKUP(D142,Products_Table[],4,FALSE)</f>
        <v>293.8</v>
      </c>
      <c r="I142" s="3" t="str">
        <f>VLOOKUP(C142,Customer_Table[],4,FALSE)</f>
        <v>United States</v>
      </c>
      <c r="J142" s="3" t="str">
        <f t="shared" si="2"/>
        <v>MATCH</v>
      </c>
    </row>
    <row r="143" spans="1:10" x14ac:dyDescent="0.25">
      <c r="A143" s="3" t="s">
        <v>267</v>
      </c>
      <c r="B143" s="4">
        <v>45311</v>
      </c>
      <c r="C143" s="3" t="s">
        <v>222</v>
      </c>
      <c r="D143" s="3" t="s">
        <v>28</v>
      </c>
      <c r="E143" s="3">
        <v>4</v>
      </c>
      <c r="F143" s="5">
        <v>1808.8</v>
      </c>
      <c r="G143" s="3" t="str">
        <f>_xlfn.XLOOKUP(Sales_Table[[#This Row],[ProductID]],Products!A:A,Products!C:C,)</f>
        <v>Beauty</v>
      </c>
      <c r="H143" s="8">
        <f>VLOOKUP(D143,Products_Table[],4,FALSE)</f>
        <v>452.2</v>
      </c>
      <c r="I143" s="3" t="str">
        <f>VLOOKUP(C143,Customer_Table[],4,FALSE)</f>
        <v>India</v>
      </c>
      <c r="J143" s="3" t="str">
        <f t="shared" si="2"/>
        <v>MATCH</v>
      </c>
    </row>
    <row r="144" spans="1:10" x14ac:dyDescent="0.25">
      <c r="A144" s="3" t="s">
        <v>268</v>
      </c>
      <c r="B144" s="4">
        <v>45352</v>
      </c>
      <c r="C144" s="3" t="s">
        <v>269</v>
      </c>
      <c r="D144" s="3" t="s">
        <v>14</v>
      </c>
      <c r="E144" s="3">
        <v>3</v>
      </c>
      <c r="F144" s="5">
        <v>710.07</v>
      </c>
      <c r="G144" s="3" t="str">
        <f>_xlfn.XLOOKUP(Sales_Table[[#This Row],[ProductID]],Products!A:A,Products!C:C,)</f>
        <v>Home</v>
      </c>
      <c r="H144" s="8">
        <f>VLOOKUP(D144,Products_Table[],4,FALSE)</f>
        <v>236.69</v>
      </c>
      <c r="I144" s="3" t="str">
        <f>VLOOKUP(C144,Customer_Table[],4,FALSE)</f>
        <v>United Kingdom</v>
      </c>
      <c r="J144" s="3" t="str">
        <f t="shared" si="2"/>
        <v>MATCH</v>
      </c>
    </row>
    <row r="145" spans="1:10" x14ac:dyDescent="0.25">
      <c r="A145" s="3" t="s">
        <v>270</v>
      </c>
      <c r="B145" s="4">
        <v>45377</v>
      </c>
      <c r="C145" s="3" t="s">
        <v>139</v>
      </c>
      <c r="D145" s="3" t="s">
        <v>146</v>
      </c>
      <c r="E145" s="3">
        <v>3</v>
      </c>
      <c r="F145" s="5">
        <v>998.7</v>
      </c>
      <c r="G145" s="3" t="str">
        <f>_xlfn.XLOOKUP(Sales_Table[[#This Row],[ProductID]],Products!A:A,Products!C:C,)</f>
        <v>Electronics</v>
      </c>
      <c r="H145" s="8">
        <f>VLOOKUP(D145,Products_Table[],4,FALSE)</f>
        <v>332.9</v>
      </c>
      <c r="I145" s="3" t="str">
        <f>VLOOKUP(C145,Customer_Table[],4,FALSE)</f>
        <v>United States</v>
      </c>
      <c r="J145" s="3" t="str">
        <f t="shared" si="2"/>
        <v>MATCH</v>
      </c>
    </row>
    <row r="146" spans="1:10" x14ac:dyDescent="0.25">
      <c r="A146" s="3" t="s">
        <v>271</v>
      </c>
      <c r="B146" s="4">
        <v>45430</v>
      </c>
      <c r="C146" s="3" t="s">
        <v>243</v>
      </c>
      <c r="D146" s="3" t="s">
        <v>146</v>
      </c>
      <c r="E146" s="3">
        <v>3</v>
      </c>
      <c r="F146" s="5">
        <v>998.7</v>
      </c>
      <c r="G146" s="3" t="str">
        <f>_xlfn.XLOOKUP(Sales_Table[[#This Row],[ProductID]],Products!A:A,Products!C:C,)</f>
        <v>Electronics</v>
      </c>
      <c r="H146" s="8">
        <f>VLOOKUP(D146,Products_Table[],4,FALSE)</f>
        <v>332.9</v>
      </c>
      <c r="I146" s="3" t="str">
        <f>VLOOKUP(C146,Customer_Table[],4,FALSE)</f>
        <v>India</v>
      </c>
      <c r="J146" s="3" t="str">
        <f t="shared" si="2"/>
        <v>MATCH</v>
      </c>
    </row>
    <row r="147" spans="1:10" x14ac:dyDescent="0.25">
      <c r="A147" s="3" t="s">
        <v>272</v>
      </c>
      <c r="B147" s="4">
        <v>45327</v>
      </c>
      <c r="C147" s="3" t="s">
        <v>264</v>
      </c>
      <c r="D147" s="3" t="s">
        <v>196</v>
      </c>
      <c r="E147" s="3">
        <v>1</v>
      </c>
      <c r="F147" s="5">
        <v>245.87</v>
      </c>
      <c r="G147" s="3" t="str">
        <f>_xlfn.XLOOKUP(Sales_Table[[#This Row],[ProductID]],Products!A:A,Products!C:C,)</f>
        <v>Beauty</v>
      </c>
      <c r="H147" s="8">
        <f>VLOOKUP(D147,Products_Table[],4,FALSE)</f>
        <v>245.87</v>
      </c>
      <c r="I147" s="3" t="str">
        <f>VLOOKUP(C147,Customer_Table[],4,FALSE)</f>
        <v>Canada</v>
      </c>
      <c r="J147" s="3" t="str">
        <f t="shared" si="2"/>
        <v>MATCH</v>
      </c>
    </row>
    <row r="148" spans="1:10" x14ac:dyDescent="0.25">
      <c r="A148" s="3" t="s">
        <v>273</v>
      </c>
      <c r="B148" s="4">
        <v>45351</v>
      </c>
      <c r="C148" s="3" t="s">
        <v>143</v>
      </c>
      <c r="D148" s="3" t="s">
        <v>231</v>
      </c>
      <c r="E148" s="3">
        <v>2</v>
      </c>
      <c r="F148" s="5">
        <v>487.26</v>
      </c>
      <c r="G148" s="3" t="str">
        <f>_xlfn.XLOOKUP(Sales_Table[[#This Row],[ProductID]],Products!A:A,Products!C:C,)</f>
        <v>Sports</v>
      </c>
      <c r="H148" s="8">
        <f>VLOOKUP(D148,Products_Table[],4,FALSE)</f>
        <v>243.63</v>
      </c>
      <c r="I148" s="3" t="str">
        <f>VLOOKUP(C148,Customer_Table[],4,FALSE)</f>
        <v>Canada</v>
      </c>
      <c r="J148" s="3" t="str">
        <f t="shared" si="2"/>
        <v>MATCH</v>
      </c>
    </row>
    <row r="149" spans="1:10" x14ac:dyDescent="0.25">
      <c r="A149" s="3" t="s">
        <v>274</v>
      </c>
      <c r="B149" s="4">
        <v>45469</v>
      </c>
      <c r="C149" s="3" t="s">
        <v>222</v>
      </c>
      <c r="D149" s="3" t="s">
        <v>132</v>
      </c>
      <c r="E149" s="3">
        <v>4</v>
      </c>
      <c r="F149" s="5">
        <v>1351.2</v>
      </c>
      <c r="G149" s="3" t="str">
        <f>_xlfn.XLOOKUP(Sales_Table[[#This Row],[ProductID]],Products!A:A,Products!C:C,)</f>
        <v>Home</v>
      </c>
      <c r="H149" s="8">
        <f>VLOOKUP(D149,Products_Table[],4,FALSE)</f>
        <v>337.8</v>
      </c>
      <c r="I149" s="3" t="str">
        <f>VLOOKUP(C149,Customer_Table[],4,FALSE)</f>
        <v>India</v>
      </c>
      <c r="J149" s="3" t="str">
        <f t="shared" si="2"/>
        <v>MATCH</v>
      </c>
    </row>
    <row r="150" spans="1:10" x14ac:dyDescent="0.25">
      <c r="A150" s="3" t="s">
        <v>275</v>
      </c>
      <c r="B150" s="4">
        <v>45472</v>
      </c>
      <c r="C150" s="3" t="s">
        <v>74</v>
      </c>
      <c r="D150" s="3" t="s">
        <v>132</v>
      </c>
      <c r="E150" s="3">
        <v>2</v>
      </c>
      <c r="F150" s="5">
        <v>675.6</v>
      </c>
      <c r="G150" s="3" t="str">
        <f>_xlfn.XLOOKUP(Sales_Table[[#This Row],[ProductID]],Products!A:A,Products!C:C,)</f>
        <v>Home</v>
      </c>
      <c r="H150" s="8">
        <f>VLOOKUP(D150,Products_Table[],4,FALSE)</f>
        <v>337.8</v>
      </c>
      <c r="I150" s="3" t="str">
        <f>VLOOKUP(C150,Customer_Table[],4,FALSE)</f>
        <v>India</v>
      </c>
      <c r="J150" s="3" t="str">
        <f t="shared" si="2"/>
        <v>MATCH</v>
      </c>
    </row>
    <row r="151" spans="1:10" x14ac:dyDescent="0.25">
      <c r="A151" s="3" t="s">
        <v>276</v>
      </c>
      <c r="B151" s="4">
        <v>45308</v>
      </c>
      <c r="C151" s="3" t="s">
        <v>116</v>
      </c>
      <c r="D151" s="3" t="s">
        <v>17</v>
      </c>
      <c r="E151" s="3">
        <v>2</v>
      </c>
      <c r="F151" s="5">
        <v>788.92</v>
      </c>
      <c r="G151" s="3" t="str">
        <f>_xlfn.XLOOKUP(Sales_Table[[#This Row],[ProductID]],Products!A:A,Products!C:C,)</f>
        <v>Clothing</v>
      </c>
      <c r="H151" s="8">
        <f>VLOOKUP(D151,Products_Table[],4,FALSE)</f>
        <v>394.46</v>
      </c>
      <c r="I151" s="3" t="str">
        <f>VLOOKUP(C151,Customer_Table[],4,FALSE)</f>
        <v>United Kingdom</v>
      </c>
      <c r="J151" s="3" t="str">
        <f t="shared" si="2"/>
        <v>MATCH</v>
      </c>
    </row>
    <row r="152" spans="1:10" x14ac:dyDescent="0.25">
      <c r="A152" s="3" t="s">
        <v>277</v>
      </c>
      <c r="B152" s="4">
        <v>45396</v>
      </c>
      <c r="C152" s="3" t="s">
        <v>278</v>
      </c>
      <c r="D152" s="3" t="s">
        <v>81</v>
      </c>
      <c r="E152" s="3">
        <v>4</v>
      </c>
      <c r="F152" s="5">
        <v>1733.12</v>
      </c>
      <c r="G152" s="3" t="str">
        <f>_xlfn.XLOOKUP(Sales_Table[[#This Row],[ProductID]],Products!A:A,Products!C:C,)</f>
        <v>Beauty</v>
      </c>
      <c r="H152" s="8">
        <f>VLOOKUP(D152,Products_Table[],4,FALSE)</f>
        <v>433.28</v>
      </c>
      <c r="I152" s="3" t="str">
        <f>VLOOKUP(C152,Customer_Table[],4,FALSE)</f>
        <v>Canada</v>
      </c>
      <c r="J152" s="3" t="str">
        <f t="shared" si="2"/>
        <v>MATCH</v>
      </c>
    </row>
    <row r="153" spans="1:10" x14ac:dyDescent="0.25">
      <c r="A153" s="3" t="s">
        <v>279</v>
      </c>
      <c r="B153" s="4">
        <v>45430</v>
      </c>
      <c r="C153" s="3" t="s">
        <v>280</v>
      </c>
      <c r="D153" s="3" t="s">
        <v>103</v>
      </c>
      <c r="E153" s="3">
        <v>3</v>
      </c>
      <c r="F153" s="5">
        <v>419.85</v>
      </c>
      <c r="G153" s="3" t="str">
        <f>_xlfn.XLOOKUP(Sales_Table[[#This Row],[ProductID]],Products!A:A,Products!C:C,)</f>
        <v>Beauty</v>
      </c>
      <c r="H153" s="8">
        <f>VLOOKUP(D153,Products_Table[],4,FALSE)</f>
        <v>139.94999999999999</v>
      </c>
      <c r="I153" s="3" t="str">
        <f>VLOOKUP(C153,Customer_Table[],4,FALSE)</f>
        <v>United Kingdom</v>
      </c>
      <c r="J153" s="3" t="str">
        <f t="shared" si="2"/>
        <v>MATCH</v>
      </c>
    </row>
    <row r="154" spans="1:10" x14ac:dyDescent="0.25">
      <c r="A154" s="3" t="s">
        <v>281</v>
      </c>
      <c r="B154" s="4">
        <v>45398</v>
      </c>
      <c r="C154" s="3" t="s">
        <v>30</v>
      </c>
      <c r="D154" s="3" t="s">
        <v>108</v>
      </c>
      <c r="E154" s="3">
        <v>4</v>
      </c>
      <c r="F154" s="5">
        <v>197</v>
      </c>
      <c r="G154" s="3" t="str">
        <f>_xlfn.XLOOKUP(Sales_Table[[#This Row],[ProductID]],Products!A:A,Products!C:C,)</f>
        <v>Sports</v>
      </c>
      <c r="H154" s="8">
        <f>VLOOKUP(D154,Products_Table[],4,FALSE)</f>
        <v>49.25</v>
      </c>
      <c r="I154" s="3" t="str">
        <f>VLOOKUP(C154,Customer_Table[],4,FALSE)</f>
        <v>United Kingdom</v>
      </c>
      <c r="J154" s="3" t="str">
        <f t="shared" si="2"/>
        <v>MATCH</v>
      </c>
    </row>
    <row r="155" spans="1:10" x14ac:dyDescent="0.25">
      <c r="A155" s="3" t="s">
        <v>282</v>
      </c>
      <c r="B155" s="4">
        <v>45344</v>
      </c>
      <c r="C155" s="3" t="s">
        <v>283</v>
      </c>
      <c r="D155" s="3" t="s">
        <v>55</v>
      </c>
      <c r="E155" s="3">
        <v>1</v>
      </c>
      <c r="F155" s="5">
        <v>130.65</v>
      </c>
      <c r="G155" s="3" t="str">
        <f>_xlfn.XLOOKUP(Sales_Table[[#This Row],[ProductID]],Products!A:A,Products!C:C,)</f>
        <v>Sports</v>
      </c>
      <c r="H155" s="8">
        <f>VLOOKUP(D155,Products_Table[],4,FALSE)</f>
        <v>130.65</v>
      </c>
      <c r="I155" s="3" t="str">
        <f>VLOOKUP(C155,Customer_Table[],4,FALSE)</f>
        <v>United States</v>
      </c>
      <c r="J155" s="3" t="str">
        <f t="shared" si="2"/>
        <v>MATCH</v>
      </c>
    </row>
    <row r="156" spans="1:10" x14ac:dyDescent="0.25">
      <c r="A156" s="3" t="s">
        <v>284</v>
      </c>
      <c r="B156" s="4">
        <v>45391</v>
      </c>
      <c r="C156" s="3" t="s">
        <v>97</v>
      </c>
      <c r="D156" s="3" t="s">
        <v>26</v>
      </c>
      <c r="E156" s="3">
        <v>4</v>
      </c>
      <c r="F156" s="5">
        <v>599.08000000000004</v>
      </c>
      <c r="G156" s="3" t="str">
        <f>_xlfn.XLOOKUP(Sales_Table[[#This Row],[ProductID]],Products!A:A,Products!C:C,)</f>
        <v>Beauty</v>
      </c>
      <c r="H156" s="8">
        <f>VLOOKUP(D156,Products_Table[],4,FALSE)</f>
        <v>149.77000000000001</v>
      </c>
      <c r="I156" s="3" t="str">
        <f>VLOOKUP(C156,Customer_Table[],4,FALSE)</f>
        <v>United States</v>
      </c>
      <c r="J156" s="3" t="str">
        <f t="shared" si="2"/>
        <v>MATCH</v>
      </c>
    </row>
    <row r="157" spans="1:10" x14ac:dyDescent="0.25">
      <c r="A157" s="3" t="s">
        <v>285</v>
      </c>
      <c r="B157" s="4">
        <v>45470</v>
      </c>
      <c r="C157" s="3" t="s">
        <v>202</v>
      </c>
      <c r="D157" s="3" t="s">
        <v>165</v>
      </c>
      <c r="E157" s="3">
        <v>5</v>
      </c>
      <c r="F157" s="5">
        <v>1309.7</v>
      </c>
      <c r="G157" s="3" t="str">
        <f>_xlfn.XLOOKUP(Sales_Table[[#This Row],[ProductID]],Products!A:A,Products!C:C,)</f>
        <v>Electronics</v>
      </c>
      <c r="H157" s="8">
        <f>VLOOKUP(D157,Products_Table[],4,FALSE)</f>
        <v>261.94</v>
      </c>
      <c r="I157" s="3" t="str">
        <f>VLOOKUP(C157,Customer_Table[],4,FALSE)</f>
        <v>India</v>
      </c>
      <c r="J157" s="3" t="str">
        <f t="shared" si="2"/>
        <v>MATCH</v>
      </c>
    </row>
    <row r="158" spans="1:10" x14ac:dyDescent="0.25">
      <c r="A158" s="3" t="s">
        <v>286</v>
      </c>
      <c r="B158" s="4">
        <v>45439</v>
      </c>
      <c r="C158" s="3" t="s">
        <v>30</v>
      </c>
      <c r="D158" s="3" t="s">
        <v>63</v>
      </c>
      <c r="E158" s="3">
        <v>1</v>
      </c>
      <c r="F158" s="5">
        <v>57.98</v>
      </c>
      <c r="G158" s="3" t="str">
        <f>_xlfn.XLOOKUP(Sales_Table[[#This Row],[ProductID]],Products!A:A,Products!C:C,)</f>
        <v>Sports</v>
      </c>
      <c r="H158" s="8">
        <f>VLOOKUP(D158,Products_Table[],4,FALSE)</f>
        <v>57.98</v>
      </c>
      <c r="I158" s="3" t="str">
        <f>VLOOKUP(C158,Customer_Table[],4,FALSE)</f>
        <v>United Kingdom</v>
      </c>
      <c r="J158" s="3" t="str">
        <f t="shared" si="2"/>
        <v>MATCH</v>
      </c>
    </row>
    <row r="159" spans="1:10" x14ac:dyDescent="0.25">
      <c r="A159" s="3" t="s">
        <v>287</v>
      </c>
      <c r="B159" s="4">
        <v>45414</v>
      </c>
      <c r="C159" s="3" t="s">
        <v>131</v>
      </c>
      <c r="D159" s="3" t="s">
        <v>41</v>
      </c>
      <c r="E159" s="3">
        <v>4</v>
      </c>
      <c r="F159" s="5">
        <v>152.04</v>
      </c>
      <c r="G159" s="3" t="str">
        <f>_xlfn.XLOOKUP(Sales_Table[[#This Row],[ProductID]],Products!A:A,Products!C:C,)</f>
        <v>Home</v>
      </c>
      <c r="H159" s="8">
        <f>VLOOKUP(D159,Products_Table[],4,FALSE)</f>
        <v>38.01</v>
      </c>
      <c r="I159" s="3" t="str">
        <f>VLOOKUP(C159,Customer_Table[],4,FALSE)</f>
        <v>Canada</v>
      </c>
      <c r="J159" s="3" t="str">
        <f t="shared" si="2"/>
        <v>MATCH</v>
      </c>
    </row>
    <row r="160" spans="1:10" x14ac:dyDescent="0.25">
      <c r="A160" s="3" t="s">
        <v>288</v>
      </c>
      <c r="B160" s="4">
        <v>45382</v>
      </c>
      <c r="C160" s="3" t="s">
        <v>289</v>
      </c>
      <c r="D160" s="3" t="s">
        <v>165</v>
      </c>
      <c r="E160" s="3">
        <v>1</v>
      </c>
      <c r="F160" s="5">
        <v>261.94</v>
      </c>
      <c r="G160" s="3" t="str">
        <f>_xlfn.XLOOKUP(Sales_Table[[#This Row],[ProductID]],Products!A:A,Products!C:C,)</f>
        <v>Electronics</v>
      </c>
      <c r="H160" s="8">
        <f>VLOOKUP(D160,Products_Table[],4,FALSE)</f>
        <v>261.94</v>
      </c>
      <c r="I160" s="3" t="str">
        <f>VLOOKUP(C160,Customer_Table[],4,FALSE)</f>
        <v>Canada</v>
      </c>
      <c r="J160" s="3" t="str">
        <f t="shared" si="2"/>
        <v>MATCH</v>
      </c>
    </row>
    <row r="161" spans="1:10" x14ac:dyDescent="0.25">
      <c r="A161" s="3" t="s">
        <v>290</v>
      </c>
      <c r="B161" s="4">
        <v>45391</v>
      </c>
      <c r="C161" s="3" t="s">
        <v>238</v>
      </c>
      <c r="D161" s="3" t="s">
        <v>63</v>
      </c>
      <c r="E161" s="3">
        <v>3</v>
      </c>
      <c r="F161" s="5">
        <v>173.94</v>
      </c>
      <c r="G161" s="3" t="str">
        <f>_xlfn.XLOOKUP(Sales_Table[[#This Row],[ProductID]],Products!A:A,Products!C:C,)</f>
        <v>Sports</v>
      </c>
      <c r="H161" s="8">
        <f>VLOOKUP(D161,Products_Table[],4,FALSE)</f>
        <v>57.98</v>
      </c>
      <c r="I161" s="3" t="str">
        <f>VLOOKUP(C161,Customer_Table[],4,FALSE)</f>
        <v>United Kingdom</v>
      </c>
      <c r="J161" s="3" t="str">
        <f t="shared" si="2"/>
        <v>MATCH</v>
      </c>
    </row>
    <row r="162" spans="1:10" x14ac:dyDescent="0.25">
      <c r="A162" s="3" t="s">
        <v>291</v>
      </c>
      <c r="B162" s="4">
        <v>45429</v>
      </c>
      <c r="C162" s="3" t="s">
        <v>202</v>
      </c>
      <c r="D162" s="3" t="s">
        <v>122</v>
      </c>
      <c r="E162" s="3">
        <v>4</v>
      </c>
      <c r="F162" s="5">
        <v>348.56</v>
      </c>
      <c r="G162" s="3" t="str">
        <f>_xlfn.XLOOKUP(Sales_Table[[#This Row],[ProductID]],Products!A:A,Products!C:C,)</f>
        <v>Sports</v>
      </c>
      <c r="H162" s="8">
        <f>VLOOKUP(D162,Products_Table[],4,FALSE)</f>
        <v>87.14</v>
      </c>
      <c r="I162" s="3" t="str">
        <f>VLOOKUP(C162,Customer_Table[],4,FALSE)</f>
        <v>India</v>
      </c>
      <c r="J162" s="3" t="str">
        <f t="shared" si="2"/>
        <v>MATCH</v>
      </c>
    </row>
    <row r="163" spans="1:10" x14ac:dyDescent="0.25">
      <c r="A163" s="3" t="s">
        <v>292</v>
      </c>
      <c r="B163" s="4">
        <v>45446</v>
      </c>
      <c r="C163" s="3" t="s">
        <v>19</v>
      </c>
      <c r="D163" s="3" t="s">
        <v>68</v>
      </c>
      <c r="E163" s="3">
        <v>5</v>
      </c>
      <c r="F163" s="5">
        <v>2011.45</v>
      </c>
      <c r="G163" s="3" t="str">
        <f>_xlfn.XLOOKUP(Sales_Table[[#This Row],[ProductID]],Products!A:A,Products!C:C,)</f>
        <v>Home</v>
      </c>
      <c r="H163" s="8">
        <f>VLOOKUP(D163,Products_Table[],4,FALSE)</f>
        <v>402.29</v>
      </c>
      <c r="I163" s="3" t="str">
        <f>VLOOKUP(C163,Customer_Table[],4,FALSE)</f>
        <v>United States</v>
      </c>
      <c r="J163" s="3" t="str">
        <f t="shared" si="2"/>
        <v>MATCH</v>
      </c>
    </row>
    <row r="164" spans="1:10" x14ac:dyDescent="0.25">
      <c r="A164" s="3" t="s">
        <v>293</v>
      </c>
      <c r="B164" s="4">
        <v>45416</v>
      </c>
      <c r="C164" s="3" t="s">
        <v>111</v>
      </c>
      <c r="D164" s="3" t="s">
        <v>129</v>
      </c>
      <c r="E164" s="3">
        <v>2</v>
      </c>
      <c r="F164" s="5">
        <v>233.34</v>
      </c>
      <c r="G164" s="3" t="str">
        <f>_xlfn.XLOOKUP(Sales_Table[[#This Row],[ProductID]],Products!A:A,Products!C:C,)</f>
        <v>Home</v>
      </c>
      <c r="H164" s="8">
        <f>VLOOKUP(D164,Products_Table[],4,FALSE)</f>
        <v>116.67</v>
      </c>
      <c r="I164" s="3" t="str">
        <f>VLOOKUP(C164,Customer_Table[],4,FALSE)</f>
        <v>United Kingdom</v>
      </c>
      <c r="J164" s="3" t="str">
        <f t="shared" si="2"/>
        <v>MATCH</v>
      </c>
    </row>
    <row r="165" spans="1:10" x14ac:dyDescent="0.25">
      <c r="A165" s="3" t="s">
        <v>294</v>
      </c>
      <c r="B165" s="4">
        <v>45361</v>
      </c>
      <c r="C165" s="3" t="s">
        <v>295</v>
      </c>
      <c r="D165" s="3" t="s">
        <v>52</v>
      </c>
      <c r="E165" s="3">
        <v>2</v>
      </c>
      <c r="F165" s="5">
        <v>171.7</v>
      </c>
      <c r="G165" s="3" t="str">
        <f>_xlfn.XLOOKUP(Sales_Table[[#This Row],[ProductID]],Products!A:A,Products!C:C,)</f>
        <v>Beauty</v>
      </c>
      <c r="H165" s="8">
        <f>VLOOKUP(D165,Products_Table[],4,FALSE)</f>
        <v>85.85</v>
      </c>
      <c r="I165" s="3" t="str">
        <f>VLOOKUP(C165,Customer_Table[],4,FALSE)</f>
        <v>United States</v>
      </c>
      <c r="J165" s="3" t="str">
        <f t="shared" si="2"/>
        <v>MATCH</v>
      </c>
    </row>
    <row r="166" spans="1:10" x14ac:dyDescent="0.25">
      <c r="A166" s="3" t="s">
        <v>296</v>
      </c>
      <c r="B166" s="4">
        <v>45416</v>
      </c>
      <c r="C166" s="3" t="s">
        <v>297</v>
      </c>
      <c r="D166" s="3" t="s">
        <v>38</v>
      </c>
      <c r="E166" s="3">
        <v>4</v>
      </c>
      <c r="F166" s="5">
        <v>1337.28</v>
      </c>
      <c r="G166" s="3" t="str">
        <f>_xlfn.XLOOKUP(Sales_Table[[#This Row],[ProductID]],Products!A:A,Products!C:C,)</f>
        <v>Sports</v>
      </c>
      <c r="H166" s="8">
        <f>VLOOKUP(D166,Products_Table[],4,FALSE)</f>
        <v>334.32</v>
      </c>
      <c r="I166" s="3" t="str">
        <f>VLOOKUP(C166,Customer_Table[],4,FALSE)</f>
        <v>United Kingdom</v>
      </c>
      <c r="J166" s="3" t="str">
        <f t="shared" si="2"/>
        <v>MATCH</v>
      </c>
    </row>
    <row r="167" spans="1:10" x14ac:dyDescent="0.25">
      <c r="A167" s="3" t="s">
        <v>298</v>
      </c>
      <c r="B167" s="4">
        <v>45391</v>
      </c>
      <c r="C167" s="3" t="s">
        <v>299</v>
      </c>
      <c r="D167" s="3" t="s">
        <v>44</v>
      </c>
      <c r="E167" s="3">
        <v>1</v>
      </c>
      <c r="F167" s="5">
        <v>272.77999999999997</v>
      </c>
      <c r="G167" s="3" t="str">
        <f>_xlfn.XLOOKUP(Sales_Table[[#This Row],[ProductID]],Products!A:A,Products!C:C,)</f>
        <v>Clothing</v>
      </c>
      <c r="H167" s="8">
        <f>VLOOKUP(D167,Products_Table[],4,FALSE)</f>
        <v>272.77999999999997</v>
      </c>
      <c r="I167" s="3" t="str">
        <f>VLOOKUP(C167,Customer_Table[],4,FALSE)</f>
        <v>United Kingdom</v>
      </c>
      <c r="J167" s="3" t="str">
        <f t="shared" si="2"/>
        <v>MATCH</v>
      </c>
    </row>
    <row r="168" spans="1:10" x14ac:dyDescent="0.25">
      <c r="A168" s="3" t="s">
        <v>300</v>
      </c>
      <c r="B168" s="4">
        <v>45463</v>
      </c>
      <c r="C168" s="3" t="s">
        <v>218</v>
      </c>
      <c r="D168" s="3" t="s">
        <v>52</v>
      </c>
      <c r="E168" s="3">
        <v>3</v>
      </c>
      <c r="F168" s="5">
        <v>257.55</v>
      </c>
      <c r="G168" s="3" t="str">
        <f>_xlfn.XLOOKUP(Sales_Table[[#This Row],[ProductID]],Products!A:A,Products!C:C,)</f>
        <v>Beauty</v>
      </c>
      <c r="H168" s="8">
        <f>VLOOKUP(D168,Products_Table[],4,FALSE)</f>
        <v>85.85</v>
      </c>
      <c r="I168" s="3" t="str">
        <f>VLOOKUP(C168,Customer_Table[],4,FALSE)</f>
        <v>United States</v>
      </c>
      <c r="J168" s="3" t="str">
        <f t="shared" si="2"/>
        <v>MATCH</v>
      </c>
    </row>
    <row r="169" spans="1:10" x14ac:dyDescent="0.25">
      <c r="A169" s="3" t="s">
        <v>301</v>
      </c>
      <c r="B169" s="4">
        <v>45334</v>
      </c>
      <c r="C169" s="3" t="s">
        <v>302</v>
      </c>
      <c r="D169" s="3" t="s">
        <v>129</v>
      </c>
      <c r="E169" s="3">
        <v>4</v>
      </c>
      <c r="F169" s="5">
        <v>466.68</v>
      </c>
      <c r="G169" s="3" t="str">
        <f>_xlfn.XLOOKUP(Sales_Table[[#This Row],[ProductID]],Products!A:A,Products!C:C,)</f>
        <v>Home</v>
      </c>
      <c r="H169" s="8">
        <f>VLOOKUP(D169,Products_Table[],4,FALSE)</f>
        <v>116.67</v>
      </c>
      <c r="I169" s="3" t="str">
        <f>VLOOKUP(C169,Customer_Table[],4,FALSE)</f>
        <v>United States</v>
      </c>
      <c r="J169" s="3" t="str">
        <f t="shared" si="2"/>
        <v>MATCH</v>
      </c>
    </row>
    <row r="170" spans="1:10" x14ac:dyDescent="0.25">
      <c r="A170" s="3" t="s">
        <v>303</v>
      </c>
      <c r="B170" s="4">
        <v>45324</v>
      </c>
      <c r="C170" s="3" t="s">
        <v>139</v>
      </c>
      <c r="D170" s="3" t="s">
        <v>304</v>
      </c>
      <c r="E170" s="3">
        <v>4</v>
      </c>
      <c r="F170" s="5">
        <v>1096.8800000000001</v>
      </c>
      <c r="G170" s="3" t="str">
        <f>_xlfn.XLOOKUP(Sales_Table[[#This Row],[ProductID]],Products!A:A,Products!C:C,)</f>
        <v>Clothing</v>
      </c>
      <c r="H170" s="8">
        <f>VLOOKUP(D170,Products_Table[],4,FALSE)</f>
        <v>274.22000000000003</v>
      </c>
      <c r="I170" s="3" t="str">
        <f>VLOOKUP(C170,Customer_Table[],4,FALSE)</f>
        <v>United States</v>
      </c>
      <c r="J170" s="3" t="str">
        <f t="shared" si="2"/>
        <v>MATCH</v>
      </c>
    </row>
    <row r="171" spans="1:10" x14ac:dyDescent="0.25">
      <c r="A171" s="3" t="s">
        <v>305</v>
      </c>
      <c r="B171" s="4">
        <v>45428</v>
      </c>
      <c r="C171" s="3" t="s">
        <v>13</v>
      </c>
      <c r="D171" s="3" t="s">
        <v>132</v>
      </c>
      <c r="E171" s="3">
        <v>5</v>
      </c>
      <c r="F171" s="5">
        <v>1689</v>
      </c>
      <c r="G171" s="3" t="str">
        <f>_xlfn.XLOOKUP(Sales_Table[[#This Row],[ProductID]],Products!A:A,Products!C:C,)</f>
        <v>Home</v>
      </c>
      <c r="H171" s="8">
        <f>VLOOKUP(D171,Products_Table[],4,FALSE)</f>
        <v>337.8</v>
      </c>
      <c r="I171" s="3" t="str">
        <f>VLOOKUP(C171,Customer_Table[],4,FALSE)</f>
        <v>Canada</v>
      </c>
      <c r="J171" s="3" t="str">
        <f t="shared" si="2"/>
        <v>MATCH</v>
      </c>
    </row>
    <row r="172" spans="1:10" x14ac:dyDescent="0.25">
      <c r="A172" s="3" t="s">
        <v>306</v>
      </c>
      <c r="B172" s="4">
        <v>45392</v>
      </c>
      <c r="C172" s="3" t="s">
        <v>307</v>
      </c>
      <c r="D172" s="3" t="s">
        <v>17</v>
      </c>
      <c r="E172" s="3">
        <v>1</v>
      </c>
      <c r="F172" s="5">
        <v>394.46</v>
      </c>
      <c r="G172" s="3" t="str">
        <f>_xlfn.XLOOKUP(Sales_Table[[#This Row],[ProductID]],Products!A:A,Products!C:C,)</f>
        <v>Clothing</v>
      </c>
      <c r="H172" s="8">
        <f>VLOOKUP(D172,Products_Table[],4,FALSE)</f>
        <v>394.46</v>
      </c>
      <c r="I172" s="3" t="str">
        <f>VLOOKUP(C172,Customer_Table[],4,FALSE)</f>
        <v>Canada</v>
      </c>
      <c r="J172" s="3" t="str">
        <f t="shared" si="2"/>
        <v>MATCH</v>
      </c>
    </row>
    <row r="173" spans="1:10" x14ac:dyDescent="0.25">
      <c r="A173" s="3" t="s">
        <v>308</v>
      </c>
      <c r="B173" s="4">
        <v>45436</v>
      </c>
      <c r="C173" s="3" t="s">
        <v>245</v>
      </c>
      <c r="D173" s="3" t="s">
        <v>81</v>
      </c>
      <c r="E173" s="3">
        <v>5</v>
      </c>
      <c r="F173" s="5">
        <v>2166.4</v>
      </c>
      <c r="G173" s="3" t="str">
        <f>_xlfn.XLOOKUP(Sales_Table[[#This Row],[ProductID]],Products!A:A,Products!C:C,)</f>
        <v>Beauty</v>
      </c>
      <c r="H173" s="8">
        <f>VLOOKUP(D173,Products_Table[],4,FALSE)</f>
        <v>433.28</v>
      </c>
      <c r="I173" s="3" t="str">
        <f>VLOOKUP(C173,Customer_Table[],4,FALSE)</f>
        <v>United Kingdom</v>
      </c>
      <c r="J173" s="3" t="str">
        <f t="shared" si="2"/>
        <v>MATCH</v>
      </c>
    </row>
    <row r="174" spans="1:10" x14ac:dyDescent="0.25">
      <c r="A174" s="3" t="s">
        <v>309</v>
      </c>
      <c r="B174" s="4">
        <v>45313</v>
      </c>
      <c r="C174" s="3" t="s">
        <v>310</v>
      </c>
      <c r="D174" s="3" t="s">
        <v>8</v>
      </c>
      <c r="E174" s="3">
        <v>1</v>
      </c>
      <c r="F174" s="5">
        <v>419.65</v>
      </c>
      <c r="G174" s="3" t="str">
        <f>_xlfn.XLOOKUP(Sales_Table[[#This Row],[ProductID]],Products!A:A,Products!C:C,)</f>
        <v>Sports</v>
      </c>
      <c r="H174" s="8">
        <f>VLOOKUP(D174,Products_Table[],4,FALSE)</f>
        <v>419.65</v>
      </c>
      <c r="I174" s="3" t="str">
        <f>VLOOKUP(C174,Customer_Table[],4,FALSE)</f>
        <v>United States</v>
      </c>
      <c r="J174" s="3" t="str">
        <f t="shared" si="2"/>
        <v>MATCH</v>
      </c>
    </row>
    <row r="175" spans="1:10" x14ac:dyDescent="0.25">
      <c r="A175" s="3" t="s">
        <v>311</v>
      </c>
      <c r="B175" s="4">
        <v>45326</v>
      </c>
      <c r="C175" s="3" t="s">
        <v>312</v>
      </c>
      <c r="D175" s="3" t="s">
        <v>124</v>
      </c>
      <c r="E175" s="3">
        <v>4</v>
      </c>
      <c r="F175" s="5">
        <v>158.80000000000001</v>
      </c>
      <c r="G175" s="3" t="str">
        <f>_xlfn.XLOOKUP(Sales_Table[[#This Row],[ProductID]],Products!A:A,Products!C:C,)</f>
        <v>Electronics</v>
      </c>
      <c r="H175" s="8">
        <f>VLOOKUP(D175,Products_Table[],4,FALSE)</f>
        <v>39.700000000000003</v>
      </c>
      <c r="I175" s="3" t="str">
        <f>VLOOKUP(C175,Customer_Table[],4,FALSE)</f>
        <v>United Kingdom</v>
      </c>
      <c r="J175" s="3" t="str">
        <f t="shared" si="2"/>
        <v>MATCH</v>
      </c>
    </row>
    <row r="176" spans="1:10" x14ac:dyDescent="0.25">
      <c r="A176" s="3" t="s">
        <v>313</v>
      </c>
      <c r="B176" s="4">
        <v>45338</v>
      </c>
      <c r="C176" s="3" t="s">
        <v>269</v>
      </c>
      <c r="D176" s="3" t="s">
        <v>28</v>
      </c>
      <c r="E176" s="3">
        <v>4</v>
      </c>
      <c r="F176" s="5">
        <v>1808.8</v>
      </c>
      <c r="G176" s="3" t="str">
        <f>_xlfn.XLOOKUP(Sales_Table[[#This Row],[ProductID]],Products!A:A,Products!C:C,)</f>
        <v>Beauty</v>
      </c>
      <c r="H176" s="8">
        <f>VLOOKUP(D176,Products_Table[],4,FALSE)</f>
        <v>452.2</v>
      </c>
      <c r="I176" s="3" t="str">
        <f>VLOOKUP(C176,Customer_Table[],4,FALSE)</f>
        <v>United Kingdom</v>
      </c>
      <c r="J176" s="3" t="str">
        <f t="shared" si="2"/>
        <v>MATCH</v>
      </c>
    </row>
    <row r="177" spans="1:10" x14ac:dyDescent="0.25">
      <c r="A177" s="3" t="s">
        <v>314</v>
      </c>
      <c r="B177" s="4">
        <v>45358</v>
      </c>
      <c r="C177" s="3" t="s">
        <v>315</v>
      </c>
      <c r="D177" s="3" t="s">
        <v>52</v>
      </c>
      <c r="E177" s="3">
        <v>1</v>
      </c>
      <c r="F177" s="5">
        <v>85.85</v>
      </c>
      <c r="G177" s="3" t="str">
        <f>_xlfn.XLOOKUP(Sales_Table[[#This Row],[ProductID]],Products!A:A,Products!C:C,)</f>
        <v>Beauty</v>
      </c>
      <c r="H177" s="8">
        <f>VLOOKUP(D177,Products_Table[],4,FALSE)</f>
        <v>85.85</v>
      </c>
      <c r="I177" s="3" t="str">
        <f>VLOOKUP(C177,Customer_Table[],4,FALSE)</f>
        <v>United States</v>
      </c>
      <c r="J177" s="3" t="str">
        <f t="shared" si="2"/>
        <v>MATCH</v>
      </c>
    </row>
    <row r="178" spans="1:10" x14ac:dyDescent="0.25">
      <c r="A178" s="3" t="s">
        <v>316</v>
      </c>
      <c r="B178" s="4">
        <v>45375</v>
      </c>
      <c r="C178" s="3" t="s">
        <v>111</v>
      </c>
      <c r="D178" s="3" t="s">
        <v>108</v>
      </c>
      <c r="E178" s="3">
        <v>4</v>
      </c>
      <c r="F178" s="5">
        <v>197</v>
      </c>
      <c r="G178" s="3" t="str">
        <f>_xlfn.XLOOKUP(Sales_Table[[#This Row],[ProductID]],Products!A:A,Products!C:C,)</f>
        <v>Sports</v>
      </c>
      <c r="H178" s="8">
        <f>VLOOKUP(D178,Products_Table[],4,FALSE)</f>
        <v>49.25</v>
      </c>
      <c r="I178" s="3" t="str">
        <f>VLOOKUP(C178,Customer_Table[],4,FALSE)</f>
        <v>United Kingdom</v>
      </c>
      <c r="J178" s="3" t="str">
        <f t="shared" si="2"/>
        <v>MATCH</v>
      </c>
    </row>
    <row r="179" spans="1:10" x14ac:dyDescent="0.25">
      <c r="A179" s="3" t="s">
        <v>317</v>
      </c>
      <c r="B179" s="4">
        <v>45408</v>
      </c>
      <c r="C179" s="3" t="s">
        <v>318</v>
      </c>
      <c r="D179" s="3" t="s">
        <v>35</v>
      </c>
      <c r="E179" s="3">
        <v>2</v>
      </c>
      <c r="F179" s="5">
        <v>584.67999999999995</v>
      </c>
      <c r="G179" s="3" t="str">
        <f>_xlfn.XLOOKUP(Sales_Table[[#This Row],[ProductID]],Products!A:A,Products!C:C,)</f>
        <v>Sports</v>
      </c>
      <c r="H179" s="8">
        <f>VLOOKUP(D179,Products_Table[],4,FALSE)</f>
        <v>292.33999999999997</v>
      </c>
      <c r="I179" s="3" t="str">
        <f>VLOOKUP(C179,Customer_Table[],4,FALSE)</f>
        <v>United Kingdom</v>
      </c>
      <c r="J179" s="3" t="str">
        <f t="shared" si="2"/>
        <v>MATCH</v>
      </c>
    </row>
    <row r="180" spans="1:10" x14ac:dyDescent="0.25">
      <c r="A180" s="3" t="s">
        <v>319</v>
      </c>
      <c r="B180" s="4">
        <v>45378</v>
      </c>
      <c r="C180" s="3" t="s">
        <v>167</v>
      </c>
      <c r="D180" s="3" t="s">
        <v>124</v>
      </c>
      <c r="E180" s="3">
        <v>3</v>
      </c>
      <c r="F180" s="5">
        <v>119.1</v>
      </c>
      <c r="G180" s="3" t="str">
        <f>_xlfn.XLOOKUP(Sales_Table[[#This Row],[ProductID]],Products!A:A,Products!C:C,)</f>
        <v>Electronics</v>
      </c>
      <c r="H180" s="8">
        <f>VLOOKUP(D180,Products_Table[],4,FALSE)</f>
        <v>39.700000000000003</v>
      </c>
      <c r="I180" s="3" t="str">
        <f>VLOOKUP(C180,Customer_Table[],4,FALSE)</f>
        <v>United Kingdom</v>
      </c>
      <c r="J180" s="3" t="str">
        <f t="shared" si="2"/>
        <v>MATCH</v>
      </c>
    </row>
    <row r="181" spans="1:10" x14ac:dyDescent="0.25">
      <c r="A181" s="3" t="s">
        <v>320</v>
      </c>
      <c r="B181" s="4">
        <v>45363</v>
      </c>
      <c r="C181" s="3" t="s">
        <v>206</v>
      </c>
      <c r="D181" s="3" t="s">
        <v>35</v>
      </c>
      <c r="E181" s="3">
        <v>4</v>
      </c>
      <c r="F181" s="5">
        <v>1169.3599999999999</v>
      </c>
      <c r="G181" s="3" t="str">
        <f>_xlfn.XLOOKUP(Sales_Table[[#This Row],[ProductID]],Products!A:A,Products!C:C,)</f>
        <v>Sports</v>
      </c>
      <c r="H181" s="8">
        <f>VLOOKUP(D181,Products_Table[],4,FALSE)</f>
        <v>292.33999999999997</v>
      </c>
      <c r="I181" s="3" t="str">
        <f>VLOOKUP(C181,Customer_Table[],4,FALSE)</f>
        <v>Canada</v>
      </c>
      <c r="J181" s="3" t="str">
        <f t="shared" si="2"/>
        <v>MATCH</v>
      </c>
    </row>
    <row r="182" spans="1:10" x14ac:dyDescent="0.25">
      <c r="A182" s="3" t="s">
        <v>321</v>
      </c>
      <c r="B182" s="4">
        <v>45356</v>
      </c>
      <c r="C182" s="3" t="s">
        <v>145</v>
      </c>
      <c r="D182" s="3" t="s">
        <v>8</v>
      </c>
      <c r="E182" s="3">
        <v>4</v>
      </c>
      <c r="F182" s="5">
        <v>1678.6</v>
      </c>
      <c r="G182" s="3" t="str">
        <f>_xlfn.XLOOKUP(Sales_Table[[#This Row],[ProductID]],Products!A:A,Products!C:C,)</f>
        <v>Sports</v>
      </c>
      <c r="H182" s="8">
        <f>VLOOKUP(D182,Products_Table[],4,FALSE)</f>
        <v>419.65</v>
      </c>
      <c r="I182" s="3" t="str">
        <f>VLOOKUP(C182,Customer_Table[],4,FALSE)</f>
        <v>United Kingdom</v>
      </c>
      <c r="J182" s="3" t="str">
        <f t="shared" si="2"/>
        <v>MATCH</v>
      </c>
    </row>
    <row r="183" spans="1:10" x14ac:dyDescent="0.25">
      <c r="A183" s="3" t="s">
        <v>322</v>
      </c>
      <c r="B183" s="4">
        <v>45412</v>
      </c>
      <c r="C183" s="3" t="s">
        <v>323</v>
      </c>
      <c r="D183" s="3" t="s">
        <v>178</v>
      </c>
      <c r="E183" s="3">
        <v>1</v>
      </c>
      <c r="F183" s="5">
        <v>217.55</v>
      </c>
      <c r="G183" s="3" t="str">
        <f>_xlfn.XLOOKUP(Sales_Table[[#This Row],[ProductID]],Products!A:A,Products!C:C,)</f>
        <v>Home</v>
      </c>
      <c r="H183" s="8">
        <f>VLOOKUP(D183,Products_Table[],4,FALSE)</f>
        <v>217.55</v>
      </c>
      <c r="I183" s="3" t="str">
        <f>VLOOKUP(C183,Customer_Table[],4,FALSE)</f>
        <v>United States</v>
      </c>
      <c r="J183" s="3" t="str">
        <f t="shared" si="2"/>
        <v>MATCH</v>
      </c>
    </row>
    <row r="184" spans="1:10" x14ac:dyDescent="0.25">
      <c r="A184" s="3" t="s">
        <v>324</v>
      </c>
      <c r="B184" s="4">
        <v>45430</v>
      </c>
      <c r="C184" s="3" t="s">
        <v>245</v>
      </c>
      <c r="D184" s="3" t="s">
        <v>129</v>
      </c>
      <c r="E184" s="3">
        <v>1</v>
      </c>
      <c r="F184" s="5">
        <v>116.67</v>
      </c>
      <c r="G184" s="3" t="str">
        <f>_xlfn.XLOOKUP(Sales_Table[[#This Row],[ProductID]],Products!A:A,Products!C:C,)</f>
        <v>Home</v>
      </c>
      <c r="H184" s="8">
        <f>VLOOKUP(D184,Products_Table[],4,FALSE)</f>
        <v>116.67</v>
      </c>
      <c r="I184" s="3" t="str">
        <f>VLOOKUP(C184,Customer_Table[],4,FALSE)</f>
        <v>United Kingdom</v>
      </c>
      <c r="J184" s="3" t="str">
        <f t="shared" si="2"/>
        <v>MATCH</v>
      </c>
    </row>
    <row r="185" spans="1:10" x14ac:dyDescent="0.25">
      <c r="A185" s="3" t="s">
        <v>325</v>
      </c>
      <c r="B185" s="4">
        <v>45381</v>
      </c>
      <c r="C185" s="3" t="s">
        <v>233</v>
      </c>
      <c r="D185" s="3" t="s">
        <v>17</v>
      </c>
      <c r="E185" s="3">
        <v>1</v>
      </c>
      <c r="F185" s="5">
        <v>394.46</v>
      </c>
      <c r="G185" s="3" t="str">
        <f>_xlfn.XLOOKUP(Sales_Table[[#This Row],[ProductID]],Products!A:A,Products!C:C,)</f>
        <v>Clothing</v>
      </c>
      <c r="H185" s="8">
        <f>VLOOKUP(D185,Products_Table[],4,FALSE)</f>
        <v>394.46</v>
      </c>
      <c r="I185" s="3" t="str">
        <f>VLOOKUP(C185,Customer_Table[],4,FALSE)</f>
        <v>India</v>
      </c>
      <c r="J185" s="3" t="str">
        <f t="shared" si="2"/>
        <v>MATCH</v>
      </c>
    </row>
    <row r="186" spans="1:10" x14ac:dyDescent="0.25">
      <c r="A186" s="3" t="s">
        <v>326</v>
      </c>
      <c r="B186" s="4">
        <v>45458</v>
      </c>
      <c r="C186" s="3" t="s">
        <v>76</v>
      </c>
      <c r="D186" s="3" t="s">
        <v>28</v>
      </c>
      <c r="E186" s="3">
        <v>2</v>
      </c>
      <c r="F186" s="5">
        <v>904.4</v>
      </c>
      <c r="G186" s="3" t="str">
        <f>_xlfn.XLOOKUP(Sales_Table[[#This Row],[ProductID]],Products!A:A,Products!C:C,)</f>
        <v>Beauty</v>
      </c>
      <c r="H186" s="8">
        <f>VLOOKUP(D186,Products_Table[],4,FALSE)</f>
        <v>452.2</v>
      </c>
      <c r="I186" s="3" t="str">
        <f>VLOOKUP(C186,Customer_Table[],4,FALSE)</f>
        <v>United Kingdom</v>
      </c>
      <c r="J186" s="3" t="str">
        <f t="shared" si="2"/>
        <v>MATCH</v>
      </c>
    </row>
    <row r="187" spans="1:10" x14ac:dyDescent="0.25">
      <c r="A187" s="3" t="s">
        <v>327</v>
      </c>
      <c r="B187" s="4">
        <v>45458</v>
      </c>
      <c r="C187" s="3" t="s">
        <v>87</v>
      </c>
      <c r="D187" s="3" t="s">
        <v>52</v>
      </c>
      <c r="E187" s="3">
        <v>1</v>
      </c>
      <c r="F187" s="5">
        <v>85.85</v>
      </c>
      <c r="G187" s="3" t="str">
        <f>_xlfn.XLOOKUP(Sales_Table[[#This Row],[ProductID]],Products!A:A,Products!C:C,)</f>
        <v>Beauty</v>
      </c>
      <c r="H187" s="8">
        <f>VLOOKUP(D187,Products_Table[],4,FALSE)</f>
        <v>85.85</v>
      </c>
      <c r="I187" s="3" t="str">
        <f>VLOOKUP(C187,Customer_Table[],4,FALSE)</f>
        <v>United Kingdom</v>
      </c>
      <c r="J187" s="3" t="str">
        <f t="shared" si="2"/>
        <v>MATCH</v>
      </c>
    </row>
    <row r="188" spans="1:10" x14ac:dyDescent="0.25">
      <c r="A188" s="3" t="s">
        <v>328</v>
      </c>
      <c r="B188" s="4">
        <v>45299</v>
      </c>
      <c r="C188" s="3" t="s">
        <v>182</v>
      </c>
      <c r="D188" s="3" t="s">
        <v>146</v>
      </c>
      <c r="E188" s="3">
        <v>1</v>
      </c>
      <c r="F188" s="5">
        <v>332.9</v>
      </c>
      <c r="G188" s="3" t="str">
        <f>_xlfn.XLOOKUP(Sales_Table[[#This Row],[ProductID]],Products!A:A,Products!C:C,)</f>
        <v>Electronics</v>
      </c>
      <c r="H188" s="8">
        <f>VLOOKUP(D188,Products_Table[],4,FALSE)</f>
        <v>332.9</v>
      </c>
      <c r="I188" s="3" t="str">
        <f>VLOOKUP(C188,Customer_Table[],4,FALSE)</f>
        <v>Canada</v>
      </c>
      <c r="J188" s="3" t="str">
        <f t="shared" si="2"/>
        <v>MATCH</v>
      </c>
    </row>
    <row r="189" spans="1:10" x14ac:dyDescent="0.25">
      <c r="A189" s="3" t="s">
        <v>329</v>
      </c>
      <c r="B189" s="4">
        <v>45343</v>
      </c>
      <c r="C189" s="3" t="s">
        <v>85</v>
      </c>
      <c r="D189" s="3" t="s">
        <v>52</v>
      </c>
      <c r="E189" s="3">
        <v>2</v>
      </c>
      <c r="F189" s="5">
        <v>171.7</v>
      </c>
      <c r="G189" s="3" t="str">
        <f>_xlfn.XLOOKUP(Sales_Table[[#This Row],[ProductID]],Products!A:A,Products!C:C,)</f>
        <v>Beauty</v>
      </c>
      <c r="H189" s="8">
        <f>VLOOKUP(D189,Products_Table[],4,FALSE)</f>
        <v>85.85</v>
      </c>
      <c r="I189" s="3" t="str">
        <f>VLOOKUP(C189,Customer_Table[],4,FALSE)</f>
        <v>United Kingdom</v>
      </c>
      <c r="J189" s="3" t="str">
        <f t="shared" si="2"/>
        <v>MATCH</v>
      </c>
    </row>
    <row r="190" spans="1:10" x14ac:dyDescent="0.25">
      <c r="A190" s="3" t="s">
        <v>330</v>
      </c>
      <c r="B190" s="4">
        <v>45451</v>
      </c>
      <c r="C190" s="3" t="s">
        <v>172</v>
      </c>
      <c r="D190" s="3" t="s">
        <v>132</v>
      </c>
      <c r="E190" s="3">
        <v>1</v>
      </c>
      <c r="F190" s="5">
        <v>337.8</v>
      </c>
      <c r="G190" s="3" t="str">
        <f>_xlfn.XLOOKUP(Sales_Table[[#This Row],[ProductID]],Products!A:A,Products!C:C,)</f>
        <v>Home</v>
      </c>
      <c r="H190" s="8">
        <f>VLOOKUP(D190,Products_Table[],4,FALSE)</f>
        <v>337.8</v>
      </c>
      <c r="I190" s="3" t="str">
        <f>VLOOKUP(C190,Customer_Table[],4,FALSE)</f>
        <v>Canada</v>
      </c>
      <c r="J190" s="3" t="str">
        <f t="shared" si="2"/>
        <v>MATCH</v>
      </c>
    </row>
    <row r="191" spans="1:10" x14ac:dyDescent="0.25">
      <c r="A191" s="3" t="s">
        <v>331</v>
      </c>
      <c r="B191" s="4">
        <v>45353</v>
      </c>
      <c r="C191" s="3" t="s">
        <v>111</v>
      </c>
      <c r="D191" s="3" t="s">
        <v>260</v>
      </c>
      <c r="E191" s="3">
        <v>2</v>
      </c>
      <c r="F191" s="5">
        <v>391.4</v>
      </c>
      <c r="G191" s="3" t="str">
        <f>_xlfn.XLOOKUP(Sales_Table[[#This Row],[ProductID]],Products!A:A,Products!C:C,)</f>
        <v>Clothing</v>
      </c>
      <c r="H191" s="8">
        <f>VLOOKUP(D191,Products_Table[],4,FALSE)</f>
        <v>195.7</v>
      </c>
      <c r="I191" s="3" t="str">
        <f>VLOOKUP(C191,Customer_Table[],4,FALSE)</f>
        <v>United Kingdom</v>
      </c>
      <c r="J191" s="3" t="str">
        <f t="shared" si="2"/>
        <v>MATCH</v>
      </c>
    </row>
    <row r="192" spans="1:10" x14ac:dyDescent="0.25">
      <c r="A192" s="3" t="s">
        <v>332</v>
      </c>
      <c r="B192" s="4">
        <v>45413</v>
      </c>
      <c r="C192" s="3" t="s">
        <v>46</v>
      </c>
      <c r="D192" s="3" t="s">
        <v>41</v>
      </c>
      <c r="E192" s="3">
        <v>2</v>
      </c>
      <c r="F192" s="5">
        <v>76.02</v>
      </c>
      <c r="G192" s="3" t="str">
        <f>_xlfn.XLOOKUP(Sales_Table[[#This Row],[ProductID]],Products!A:A,Products!C:C,)</f>
        <v>Home</v>
      </c>
      <c r="H192" s="8">
        <f>VLOOKUP(D192,Products_Table[],4,FALSE)</f>
        <v>38.01</v>
      </c>
      <c r="I192" s="3" t="str">
        <f>VLOOKUP(C192,Customer_Table[],4,FALSE)</f>
        <v>United Kingdom</v>
      </c>
      <c r="J192" s="3" t="str">
        <f t="shared" si="2"/>
        <v>MATCH</v>
      </c>
    </row>
    <row r="193" spans="1:10" x14ac:dyDescent="0.25">
      <c r="A193" s="3" t="s">
        <v>333</v>
      </c>
      <c r="B193" s="4">
        <v>45436</v>
      </c>
      <c r="C193" s="3" t="s">
        <v>334</v>
      </c>
      <c r="D193" s="3" t="s">
        <v>160</v>
      </c>
      <c r="E193" s="3">
        <v>1</v>
      </c>
      <c r="F193" s="5">
        <v>43.58</v>
      </c>
      <c r="G193" s="3" t="str">
        <f>_xlfn.XLOOKUP(Sales_Table[[#This Row],[ProductID]],Products!A:A,Products!C:C,)</f>
        <v>Clothing</v>
      </c>
      <c r="H193" s="8">
        <f>VLOOKUP(D193,Products_Table[],4,FALSE)</f>
        <v>43.58</v>
      </c>
      <c r="I193" s="3" t="str">
        <f>VLOOKUP(C193,Customer_Table[],4,FALSE)</f>
        <v>United Kingdom</v>
      </c>
      <c r="J193" s="3" t="str">
        <f t="shared" si="2"/>
        <v>MATCH</v>
      </c>
    </row>
    <row r="194" spans="1:10" x14ac:dyDescent="0.25">
      <c r="A194" s="3" t="s">
        <v>335</v>
      </c>
      <c r="B194" s="4">
        <v>45411</v>
      </c>
      <c r="C194" s="3" t="s">
        <v>57</v>
      </c>
      <c r="D194" s="3" t="s">
        <v>114</v>
      </c>
      <c r="E194" s="3">
        <v>2</v>
      </c>
      <c r="F194" s="5">
        <v>454.26</v>
      </c>
      <c r="G194" s="3" t="str">
        <f>_xlfn.XLOOKUP(Sales_Table[[#This Row],[ProductID]],Products!A:A,Products!C:C,)</f>
        <v>Electronics</v>
      </c>
      <c r="H194" s="8">
        <f>VLOOKUP(D194,Products_Table[],4,FALSE)</f>
        <v>227.13</v>
      </c>
      <c r="I194" s="3" t="str">
        <f>VLOOKUP(C194,Customer_Table[],4,FALSE)</f>
        <v>United Kingdom</v>
      </c>
      <c r="J194" s="3" t="str">
        <f t="shared" ref="J194:J257" si="3">IF($E$2*$H$2=$F$2,"MATCH","DESCREPANCY")</f>
        <v>MATCH</v>
      </c>
    </row>
    <row r="195" spans="1:10" x14ac:dyDescent="0.25">
      <c r="A195" s="3" t="s">
        <v>336</v>
      </c>
      <c r="B195" s="4">
        <v>45386</v>
      </c>
      <c r="C195" s="3" t="s">
        <v>185</v>
      </c>
      <c r="D195" s="3" t="s">
        <v>55</v>
      </c>
      <c r="E195" s="3">
        <v>3</v>
      </c>
      <c r="F195" s="5">
        <v>391.95</v>
      </c>
      <c r="G195" s="3" t="str">
        <f>_xlfn.XLOOKUP(Sales_Table[[#This Row],[ProductID]],Products!A:A,Products!C:C,)</f>
        <v>Sports</v>
      </c>
      <c r="H195" s="8">
        <f>VLOOKUP(D195,Products_Table[],4,FALSE)</f>
        <v>130.65</v>
      </c>
      <c r="I195" s="3" t="str">
        <f>VLOOKUP(C195,Customer_Table[],4,FALSE)</f>
        <v>India</v>
      </c>
      <c r="J195" s="3" t="str">
        <f t="shared" si="3"/>
        <v>MATCH</v>
      </c>
    </row>
    <row r="196" spans="1:10" x14ac:dyDescent="0.25">
      <c r="A196" s="3" t="s">
        <v>337</v>
      </c>
      <c r="B196" s="4">
        <v>45447</v>
      </c>
      <c r="C196" s="3" t="s">
        <v>7</v>
      </c>
      <c r="D196" s="3" t="s">
        <v>178</v>
      </c>
      <c r="E196" s="3">
        <v>2</v>
      </c>
      <c r="F196" s="5">
        <v>435.1</v>
      </c>
      <c r="G196" s="3" t="str">
        <f>_xlfn.XLOOKUP(Sales_Table[[#This Row],[ProductID]],Products!A:A,Products!C:C,)</f>
        <v>Home</v>
      </c>
      <c r="H196" s="8">
        <f>VLOOKUP(D196,Products_Table[],4,FALSE)</f>
        <v>217.55</v>
      </c>
      <c r="I196" s="3" t="str">
        <f>VLOOKUP(C196,Customer_Table[],4,FALSE)</f>
        <v>Canada</v>
      </c>
      <c r="J196" s="3" t="str">
        <f t="shared" si="3"/>
        <v>MATCH</v>
      </c>
    </row>
    <row r="197" spans="1:10" x14ac:dyDescent="0.25">
      <c r="A197" s="3" t="s">
        <v>338</v>
      </c>
      <c r="B197" s="4">
        <v>45321</v>
      </c>
      <c r="C197" s="3" t="s">
        <v>135</v>
      </c>
      <c r="D197" s="3" t="s">
        <v>38</v>
      </c>
      <c r="E197" s="3">
        <v>5</v>
      </c>
      <c r="F197" s="5">
        <v>1671.6</v>
      </c>
      <c r="G197" s="3" t="str">
        <f>_xlfn.XLOOKUP(Sales_Table[[#This Row],[ProductID]],Products!A:A,Products!C:C,)</f>
        <v>Sports</v>
      </c>
      <c r="H197" s="8">
        <f>VLOOKUP(D197,Products_Table[],4,FALSE)</f>
        <v>334.32</v>
      </c>
      <c r="I197" s="3" t="str">
        <f>VLOOKUP(C197,Customer_Table[],4,FALSE)</f>
        <v>India</v>
      </c>
      <c r="J197" s="3" t="str">
        <f t="shared" si="3"/>
        <v>MATCH</v>
      </c>
    </row>
    <row r="198" spans="1:10" x14ac:dyDescent="0.25">
      <c r="A198" s="3" t="s">
        <v>339</v>
      </c>
      <c r="B198" s="4">
        <v>45371</v>
      </c>
      <c r="C198" s="3" t="s">
        <v>83</v>
      </c>
      <c r="D198" s="3" t="s">
        <v>260</v>
      </c>
      <c r="E198" s="3">
        <v>2</v>
      </c>
      <c r="F198" s="5">
        <v>391.4</v>
      </c>
      <c r="G198" s="3" t="str">
        <f>_xlfn.XLOOKUP(Sales_Table[[#This Row],[ProductID]],Products!A:A,Products!C:C,)</f>
        <v>Clothing</v>
      </c>
      <c r="H198" s="8">
        <f>VLOOKUP(D198,Products_Table[],4,FALSE)</f>
        <v>195.7</v>
      </c>
      <c r="I198" s="3" t="str">
        <f>VLOOKUP(C198,Customer_Table[],4,FALSE)</f>
        <v>United Kingdom</v>
      </c>
      <c r="J198" s="3" t="str">
        <f t="shared" si="3"/>
        <v>MATCH</v>
      </c>
    </row>
    <row r="199" spans="1:10" x14ac:dyDescent="0.25">
      <c r="A199" s="3" t="s">
        <v>340</v>
      </c>
      <c r="B199" s="4">
        <v>45440</v>
      </c>
      <c r="C199" s="3" t="s">
        <v>135</v>
      </c>
      <c r="D199" s="3" t="s">
        <v>129</v>
      </c>
      <c r="E199" s="3">
        <v>1</v>
      </c>
      <c r="F199" s="5">
        <v>116.67</v>
      </c>
      <c r="G199" s="3" t="str">
        <f>_xlfn.XLOOKUP(Sales_Table[[#This Row],[ProductID]],Products!A:A,Products!C:C,)</f>
        <v>Home</v>
      </c>
      <c r="H199" s="8">
        <f>VLOOKUP(D199,Products_Table[],4,FALSE)</f>
        <v>116.67</v>
      </c>
      <c r="I199" s="3" t="str">
        <f>VLOOKUP(C199,Customer_Table[],4,FALSE)</f>
        <v>India</v>
      </c>
      <c r="J199" s="3" t="str">
        <f t="shared" si="3"/>
        <v>MATCH</v>
      </c>
    </row>
    <row r="200" spans="1:10" x14ac:dyDescent="0.25">
      <c r="A200" s="3" t="s">
        <v>341</v>
      </c>
      <c r="B200" s="4">
        <v>45371</v>
      </c>
      <c r="C200" s="3" t="s">
        <v>107</v>
      </c>
      <c r="D200" s="3" t="s">
        <v>260</v>
      </c>
      <c r="E200" s="3">
        <v>1</v>
      </c>
      <c r="F200" s="5">
        <v>195.7</v>
      </c>
      <c r="G200" s="3" t="str">
        <f>_xlfn.XLOOKUP(Sales_Table[[#This Row],[ProductID]],Products!A:A,Products!C:C,)</f>
        <v>Clothing</v>
      </c>
      <c r="H200" s="8">
        <f>VLOOKUP(D200,Products_Table[],4,FALSE)</f>
        <v>195.7</v>
      </c>
      <c r="I200" s="3" t="str">
        <f>VLOOKUP(C200,Customer_Table[],4,FALSE)</f>
        <v>India</v>
      </c>
      <c r="J200" s="3" t="str">
        <f t="shared" si="3"/>
        <v>MATCH</v>
      </c>
    </row>
    <row r="201" spans="1:10" x14ac:dyDescent="0.25">
      <c r="A201" s="3" t="s">
        <v>342</v>
      </c>
      <c r="B201" s="4">
        <v>45465</v>
      </c>
      <c r="C201" s="3" t="s">
        <v>188</v>
      </c>
      <c r="D201" s="3" t="s">
        <v>114</v>
      </c>
      <c r="E201" s="3">
        <v>5</v>
      </c>
      <c r="F201" s="5">
        <v>1135.6500000000001</v>
      </c>
      <c r="G201" s="3" t="str">
        <f>_xlfn.XLOOKUP(Sales_Table[[#This Row],[ProductID]],Products!A:A,Products!C:C,)</f>
        <v>Electronics</v>
      </c>
      <c r="H201" s="8">
        <f>VLOOKUP(D201,Products_Table[],4,FALSE)</f>
        <v>227.13</v>
      </c>
      <c r="I201" s="3" t="str">
        <f>VLOOKUP(C201,Customer_Table[],4,FALSE)</f>
        <v>United Kingdom</v>
      </c>
      <c r="J201" s="3" t="str">
        <f t="shared" si="3"/>
        <v>MATCH</v>
      </c>
    </row>
    <row r="202" spans="1:10" x14ac:dyDescent="0.25">
      <c r="A202" s="3" t="s">
        <v>343</v>
      </c>
      <c r="B202" s="4">
        <v>45393</v>
      </c>
      <c r="C202" s="3" t="s">
        <v>323</v>
      </c>
      <c r="D202" s="3" t="s">
        <v>49</v>
      </c>
      <c r="E202" s="3">
        <v>4</v>
      </c>
      <c r="F202" s="5">
        <v>1175.2</v>
      </c>
      <c r="G202" s="3" t="str">
        <f>_xlfn.XLOOKUP(Sales_Table[[#This Row],[ProductID]],Products!A:A,Products!C:C,)</f>
        <v>Electronics</v>
      </c>
      <c r="H202" s="8">
        <f>VLOOKUP(D202,Products_Table[],4,FALSE)</f>
        <v>293.8</v>
      </c>
      <c r="I202" s="3" t="str">
        <f>VLOOKUP(C202,Customer_Table[],4,FALSE)</f>
        <v>United States</v>
      </c>
      <c r="J202" s="3" t="str">
        <f t="shared" si="3"/>
        <v>MATCH</v>
      </c>
    </row>
    <row r="203" spans="1:10" x14ac:dyDescent="0.25">
      <c r="A203" s="3" t="s">
        <v>344</v>
      </c>
      <c r="B203" s="4">
        <v>45311</v>
      </c>
      <c r="C203" s="3" t="s">
        <v>214</v>
      </c>
      <c r="D203" s="3" t="s">
        <v>108</v>
      </c>
      <c r="E203" s="3">
        <v>2</v>
      </c>
      <c r="F203" s="5">
        <v>98.5</v>
      </c>
      <c r="G203" s="3" t="str">
        <f>_xlfn.XLOOKUP(Sales_Table[[#This Row],[ProductID]],Products!A:A,Products!C:C,)</f>
        <v>Sports</v>
      </c>
      <c r="H203" s="8">
        <f>VLOOKUP(D203,Products_Table[],4,FALSE)</f>
        <v>49.25</v>
      </c>
      <c r="I203" s="3" t="str">
        <f>VLOOKUP(C203,Customer_Table[],4,FALSE)</f>
        <v>United Kingdom</v>
      </c>
      <c r="J203" s="3" t="str">
        <f t="shared" si="3"/>
        <v>MATCH</v>
      </c>
    </row>
    <row r="204" spans="1:10" x14ac:dyDescent="0.25">
      <c r="A204" s="3" t="s">
        <v>345</v>
      </c>
      <c r="B204" s="4">
        <v>45468</v>
      </c>
      <c r="C204" s="3" t="s">
        <v>346</v>
      </c>
      <c r="D204" s="3" t="s">
        <v>28</v>
      </c>
      <c r="E204" s="3">
        <v>5</v>
      </c>
      <c r="F204" s="5">
        <v>2261</v>
      </c>
      <c r="G204" s="3" t="str">
        <f>_xlfn.XLOOKUP(Sales_Table[[#This Row],[ProductID]],Products!A:A,Products!C:C,)</f>
        <v>Beauty</v>
      </c>
      <c r="H204" s="8">
        <f>VLOOKUP(D204,Products_Table[],4,FALSE)</f>
        <v>452.2</v>
      </c>
      <c r="I204" s="3" t="str">
        <f>VLOOKUP(C204,Customer_Table[],4,FALSE)</f>
        <v>Canada</v>
      </c>
      <c r="J204" s="3" t="str">
        <f t="shared" si="3"/>
        <v>MATCH</v>
      </c>
    </row>
    <row r="205" spans="1:10" x14ac:dyDescent="0.25">
      <c r="A205" s="3" t="s">
        <v>347</v>
      </c>
      <c r="B205" s="4">
        <v>45318</v>
      </c>
      <c r="C205" s="3" t="s">
        <v>10</v>
      </c>
      <c r="D205" s="3" t="s">
        <v>260</v>
      </c>
      <c r="E205" s="3">
        <v>2</v>
      </c>
      <c r="F205" s="5">
        <v>391.4</v>
      </c>
      <c r="G205" s="3" t="str">
        <f>_xlfn.XLOOKUP(Sales_Table[[#This Row],[ProductID]],Products!A:A,Products!C:C,)</f>
        <v>Clothing</v>
      </c>
      <c r="H205" s="8">
        <f>VLOOKUP(D205,Products_Table[],4,FALSE)</f>
        <v>195.7</v>
      </c>
      <c r="I205" s="3" t="str">
        <f>VLOOKUP(C205,Customer_Table[],4,FALSE)</f>
        <v>India</v>
      </c>
      <c r="J205" s="3" t="str">
        <f t="shared" si="3"/>
        <v>MATCH</v>
      </c>
    </row>
    <row r="206" spans="1:10" x14ac:dyDescent="0.25">
      <c r="A206" s="3" t="s">
        <v>348</v>
      </c>
      <c r="B206" s="4">
        <v>45467</v>
      </c>
      <c r="C206" s="3" t="s">
        <v>243</v>
      </c>
      <c r="D206" s="3" t="s">
        <v>23</v>
      </c>
      <c r="E206" s="3">
        <v>3</v>
      </c>
      <c r="F206" s="5">
        <v>309.89999999999998</v>
      </c>
      <c r="G206" s="3" t="str">
        <f>_xlfn.XLOOKUP(Sales_Table[[#This Row],[ProductID]],Products!A:A,Products!C:C,)</f>
        <v>Beauty</v>
      </c>
      <c r="H206" s="8">
        <f>VLOOKUP(D206,Products_Table[],4,FALSE)</f>
        <v>103.3</v>
      </c>
      <c r="I206" s="3" t="str">
        <f>VLOOKUP(C206,Customer_Table[],4,FALSE)</f>
        <v>India</v>
      </c>
      <c r="J206" s="3" t="str">
        <f t="shared" si="3"/>
        <v>MATCH</v>
      </c>
    </row>
    <row r="207" spans="1:10" x14ac:dyDescent="0.25">
      <c r="A207" s="3" t="s">
        <v>349</v>
      </c>
      <c r="B207" s="4">
        <v>45322</v>
      </c>
      <c r="C207" s="3" t="s">
        <v>51</v>
      </c>
      <c r="D207" s="3" t="s">
        <v>98</v>
      </c>
      <c r="E207" s="3">
        <v>5</v>
      </c>
      <c r="F207" s="5">
        <v>659.2</v>
      </c>
      <c r="G207" s="3" t="str">
        <f>_xlfn.XLOOKUP(Sales_Table[[#This Row],[ProductID]],Products!A:A,Products!C:C,)</f>
        <v>Electronics</v>
      </c>
      <c r="H207" s="8">
        <f>VLOOKUP(D207,Products_Table[],4,FALSE)</f>
        <v>131.84</v>
      </c>
      <c r="I207" s="3" t="str">
        <f>VLOOKUP(C207,Customer_Table[],4,FALSE)</f>
        <v>United States</v>
      </c>
      <c r="J207" s="3" t="str">
        <f t="shared" si="3"/>
        <v>MATCH</v>
      </c>
    </row>
    <row r="208" spans="1:10" x14ac:dyDescent="0.25">
      <c r="A208" s="3" t="s">
        <v>350</v>
      </c>
      <c r="B208" s="4">
        <v>45302</v>
      </c>
      <c r="C208" s="3" t="s">
        <v>264</v>
      </c>
      <c r="D208" s="3" t="s">
        <v>52</v>
      </c>
      <c r="E208" s="3">
        <v>5</v>
      </c>
      <c r="F208" s="5">
        <v>429.25</v>
      </c>
      <c r="G208" s="3" t="str">
        <f>_xlfn.XLOOKUP(Sales_Table[[#This Row],[ProductID]],Products!A:A,Products!C:C,)</f>
        <v>Beauty</v>
      </c>
      <c r="H208" s="8">
        <f>VLOOKUP(D208,Products_Table[],4,FALSE)</f>
        <v>85.85</v>
      </c>
      <c r="I208" s="3" t="str">
        <f>VLOOKUP(C208,Customer_Table[],4,FALSE)</f>
        <v>Canada</v>
      </c>
      <c r="J208" s="3" t="str">
        <f t="shared" si="3"/>
        <v>MATCH</v>
      </c>
    </row>
    <row r="209" spans="1:10" x14ac:dyDescent="0.25">
      <c r="A209" s="3" t="s">
        <v>351</v>
      </c>
      <c r="B209" s="4">
        <v>45428</v>
      </c>
      <c r="C209" s="3" t="s">
        <v>126</v>
      </c>
      <c r="D209" s="3" t="s">
        <v>146</v>
      </c>
      <c r="E209" s="3">
        <v>3</v>
      </c>
      <c r="F209" s="5">
        <v>998.7</v>
      </c>
      <c r="G209" s="3" t="str">
        <f>_xlfn.XLOOKUP(Sales_Table[[#This Row],[ProductID]],Products!A:A,Products!C:C,)</f>
        <v>Electronics</v>
      </c>
      <c r="H209" s="8">
        <f>VLOOKUP(D209,Products_Table[],4,FALSE)</f>
        <v>332.9</v>
      </c>
      <c r="I209" s="3" t="str">
        <f>VLOOKUP(C209,Customer_Table[],4,FALSE)</f>
        <v>India</v>
      </c>
      <c r="J209" s="3" t="str">
        <f t="shared" si="3"/>
        <v>MATCH</v>
      </c>
    </row>
    <row r="210" spans="1:10" x14ac:dyDescent="0.25">
      <c r="A210" s="3" t="s">
        <v>352</v>
      </c>
      <c r="B210" s="4">
        <v>45461</v>
      </c>
      <c r="C210" s="3" t="s">
        <v>54</v>
      </c>
      <c r="D210" s="3" t="s">
        <v>231</v>
      </c>
      <c r="E210" s="3">
        <v>4</v>
      </c>
      <c r="F210" s="5">
        <v>974.52</v>
      </c>
      <c r="G210" s="3" t="str">
        <f>_xlfn.XLOOKUP(Sales_Table[[#This Row],[ProductID]],Products!A:A,Products!C:C,)</f>
        <v>Sports</v>
      </c>
      <c r="H210" s="8">
        <f>VLOOKUP(D210,Products_Table[],4,FALSE)</f>
        <v>243.63</v>
      </c>
      <c r="I210" s="3" t="str">
        <f>VLOOKUP(C210,Customer_Table[],4,FALSE)</f>
        <v>India</v>
      </c>
      <c r="J210" s="3" t="str">
        <f t="shared" si="3"/>
        <v>MATCH</v>
      </c>
    </row>
    <row r="211" spans="1:10" x14ac:dyDescent="0.25">
      <c r="A211" s="3" t="s">
        <v>353</v>
      </c>
      <c r="B211" s="4">
        <v>45309</v>
      </c>
      <c r="C211" s="3" t="s">
        <v>198</v>
      </c>
      <c r="D211" s="3" t="s">
        <v>114</v>
      </c>
      <c r="E211" s="3">
        <v>3</v>
      </c>
      <c r="F211" s="5">
        <v>681.39</v>
      </c>
      <c r="G211" s="3" t="str">
        <f>_xlfn.XLOOKUP(Sales_Table[[#This Row],[ProductID]],Products!A:A,Products!C:C,)</f>
        <v>Electronics</v>
      </c>
      <c r="H211" s="8">
        <f>VLOOKUP(D211,Products_Table[],4,FALSE)</f>
        <v>227.13</v>
      </c>
      <c r="I211" s="3" t="str">
        <f>VLOOKUP(C211,Customer_Table[],4,FALSE)</f>
        <v>United Kingdom</v>
      </c>
      <c r="J211" s="3" t="str">
        <f t="shared" si="3"/>
        <v>MATCH</v>
      </c>
    </row>
    <row r="212" spans="1:10" x14ac:dyDescent="0.25">
      <c r="A212" s="3" t="s">
        <v>354</v>
      </c>
      <c r="B212" s="4">
        <v>45457</v>
      </c>
      <c r="C212" s="3" t="s">
        <v>295</v>
      </c>
      <c r="D212" s="3" t="s">
        <v>72</v>
      </c>
      <c r="E212" s="3">
        <v>5</v>
      </c>
      <c r="F212" s="5">
        <v>1083.5999999999999</v>
      </c>
      <c r="G212" s="3" t="str">
        <f>_xlfn.XLOOKUP(Sales_Table[[#This Row],[ProductID]],Products!A:A,Products!C:C,)</f>
        <v>Clothing</v>
      </c>
      <c r="H212" s="8">
        <f>VLOOKUP(D212,Products_Table[],4,FALSE)</f>
        <v>216.72</v>
      </c>
      <c r="I212" s="3" t="str">
        <f>VLOOKUP(C212,Customer_Table[],4,FALSE)</f>
        <v>United States</v>
      </c>
      <c r="J212" s="3" t="str">
        <f t="shared" si="3"/>
        <v>MATCH</v>
      </c>
    </row>
    <row r="213" spans="1:10" x14ac:dyDescent="0.25">
      <c r="A213" s="3" t="s">
        <v>355</v>
      </c>
      <c r="B213" s="4">
        <v>45295</v>
      </c>
      <c r="C213" s="3" t="s">
        <v>202</v>
      </c>
      <c r="D213" s="3" t="s">
        <v>81</v>
      </c>
      <c r="E213" s="3">
        <v>3</v>
      </c>
      <c r="F213" s="5">
        <v>1299.8399999999999</v>
      </c>
      <c r="G213" s="3" t="str">
        <f>_xlfn.XLOOKUP(Sales_Table[[#This Row],[ProductID]],Products!A:A,Products!C:C,)</f>
        <v>Beauty</v>
      </c>
      <c r="H213" s="8">
        <f>VLOOKUP(D213,Products_Table[],4,FALSE)</f>
        <v>433.28</v>
      </c>
      <c r="I213" s="3" t="str">
        <f>VLOOKUP(C213,Customer_Table[],4,FALSE)</f>
        <v>India</v>
      </c>
      <c r="J213" s="3" t="str">
        <f t="shared" si="3"/>
        <v>MATCH</v>
      </c>
    </row>
    <row r="214" spans="1:10" x14ac:dyDescent="0.25">
      <c r="A214" s="3" t="s">
        <v>356</v>
      </c>
      <c r="B214" s="4">
        <v>45417</v>
      </c>
      <c r="C214" s="3" t="s">
        <v>113</v>
      </c>
      <c r="D214" s="3" t="s">
        <v>148</v>
      </c>
      <c r="E214" s="3">
        <v>4</v>
      </c>
      <c r="F214" s="5">
        <v>1359.8</v>
      </c>
      <c r="G214" s="3" t="str">
        <f>_xlfn.XLOOKUP(Sales_Table[[#This Row],[ProductID]],Products!A:A,Products!C:C,)</f>
        <v>Electronics</v>
      </c>
      <c r="H214" s="8">
        <f>VLOOKUP(D214,Products_Table[],4,FALSE)</f>
        <v>339.95</v>
      </c>
      <c r="I214" s="3" t="str">
        <f>VLOOKUP(C214,Customer_Table[],4,FALSE)</f>
        <v>India</v>
      </c>
      <c r="J214" s="3" t="str">
        <f t="shared" si="3"/>
        <v>MATCH</v>
      </c>
    </row>
    <row r="215" spans="1:10" x14ac:dyDescent="0.25">
      <c r="A215" s="3" t="s">
        <v>357</v>
      </c>
      <c r="B215" s="4">
        <v>45402</v>
      </c>
      <c r="C215" s="3" t="s">
        <v>358</v>
      </c>
      <c r="D215" s="3" t="s">
        <v>81</v>
      </c>
      <c r="E215" s="3">
        <v>1</v>
      </c>
      <c r="F215" s="5">
        <v>433.28</v>
      </c>
      <c r="G215" s="3" t="str">
        <f>_xlfn.XLOOKUP(Sales_Table[[#This Row],[ProductID]],Products!A:A,Products!C:C,)</f>
        <v>Beauty</v>
      </c>
      <c r="H215" s="8">
        <f>VLOOKUP(D215,Products_Table[],4,FALSE)</f>
        <v>433.28</v>
      </c>
      <c r="I215" s="3" t="str">
        <f>VLOOKUP(C215,Customer_Table[],4,FALSE)</f>
        <v>United Kingdom</v>
      </c>
      <c r="J215" s="3" t="str">
        <f t="shared" si="3"/>
        <v>MATCH</v>
      </c>
    </row>
    <row r="216" spans="1:10" x14ac:dyDescent="0.25">
      <c r="A216" s="3" t="s">
        <v>359</v>
      </c>
      <c r="B216" s="4">
        <v>45454</v>
      </c>
      <c r="C216" s="3" t="s">
        <v>128</v>
      </c>
      <c r="D216" s="3" t="s">
        <v>146</v>
      </c>
      <c r="E216" s="3">
        <v>3</v>
      </c>
      <c r="F216" s="5">
        <v>998.7</v>
      </c>
      <c r="G216" s="3" t="str">
        <f>_xlfn.XLOOKUP(Sales_Table[[#This Row],[ProductID]],Products!A:A,Products!C:C,)</f>
        <v>Electronics</v>
      </c>
      <c r="H216" s="8">
        <f>VLOOKUP(D216,Products_Table[],4,FALSE)</f>
        <v>332.9</v>
      </c>
      <c r="I216" s="3" t="str">
        <f>VLOOKUP(C216,Customer_Table[],4,FALSE)</f>
        <v>Canada</v>
      </c>
      <c r="J216" s="3" t="str">
        <f t="shared" si="3"/>
        <v>MATCH</v>
      </c>
    </row>
    <row r="217" spans="1:10" x14ac:dyDescent="0.25">
      <c r="A217" s="3" t="s">
        <v>360</v>
      </c>
      <c r="B217" s="4">
        <v>45331</v>
      </c>
      <c r="C217" s="3" t="s">
        <v>113</v>
      </c>
      <c r="D217" s="3" t="s">
        <v>132</v>
      </c>
      <c r="E217" s="3">
        <v>4</v>
      </c>
      <c r="F217" s="5">
        <v>1351.2</v>
      </c>
      <c r="G217" s="3" t="str">
        <f>_xlfn.XLOOKUP(Sales_Table[[#This Row],[ProductID]],Products!A:A,Products!C:C,)</f>
        <v>Home</v>
      </c>
      <c r="H217" s="8">
        <f>VLOOKUP(D217,Products_Table[],4,FALSE)</f>
        <v>337.8</v>
      </c>
      <c r="I217" s="3" t="str">
        <f>VLOOKUP(C217,Customer_Table[],4,FALSE)</f>
        <v>India</v>
      </c>
      <c r="J217" s="3" t="str">
        <f t="shared" si="3"/>
        <v>MATCH</v>
      </c>
    </row>
    <row r="218" spans="1:10" x14ac:dyDescent="0.25">
      <c r="A218" s="3" t="s">
        <v>361</v>
      </c>
      <c r="B218" s="4">
        <v>45337</v>
      </c>
      <c r="C218" s="3" t="s">
        <v>185</v>
      </c>
      <c r="D218" s="3" t="s">
        <v>38</v>
      </c>
      <c r="E218" s="3">
        <v>4</v>
      </c>
      <c r="F218" s="5">
        <v>1337.28</v>
      </c>
      <c r="G218" s="3" t="str">
        <f>_xlfn.XLOOKUP(Sales_Table[[#This Row],[ProductID]],Products!A:A,Products!C:C,)</f>
        <v>Sports</v>
      </c>
      <c r="H218" s="8">
        <f>VLOOKUP(D218,Products_Table[],4,FALSE)</f>
        <v>334.32</v>
      </c>
      <c r="I218" s="3" t="str">
        <f>VLOOKUP(C218,Customer_Table[],4,FALSE)</f>
        <v>India</v>
      </c>
      <c r="J218" s="3" t="str">
        <f t="shared" si="3"/>
        <v>MATCH</v>
      </c>
    </row>
    <row r="219" spans="1:10" x14ac:dyDescent="0.25">
      <c r="A219" s="3" t="s">
        <v>362</v>
      </c>
      <c r="B219" s="4">
        <v>45458</v>
      </c>
      <c r="C219" s="3" t="s">
        <v>363</v>
      </c>
      <c r="D219" s="3" t="s">
        <v>114</v>
      </c>
      <c r="E219" s="3">
        <v>5</v>
      </c>
      <c r="F219" s="5">
        <v>1135.6500000000001</v>
      </c>
      <c r="G219" s="3" t="str">
        <f>_xlfn.XLOOKUP(Sales_Table[[#This Row],[ProductID]],Products!A:A,Products!C:C,)</f>
        <v>Electronics</v>
      </c>
      <c r="H219" s="8">
        <f>VLOOKUP(D219,Products_Table[],4,FALSE)</f>
        <v>227.13</v>
      </c>
      <c r="I219" s="3" t="str">
        <f>VLOOKUP(C219,Customer_Table[],4,FALSE)</f>
        <v>India</v>
      </c>
      <c r="J219" s="3" t="str">
        <f t="shared" si="3"/>
        <v>MATCH</v>
      </c>
    </row>
    <row r="220" spans="1:10" x14ac:dyDescent="0.25">
      <c r="A220" s="3" t="s">
        <v>364</v>
      </c>
      <c r="B220" s="4">
        <v>45449</v>
      </c>
      <c r="C220" s="3" t="s">
        <v>172</v>
      </c>
      <c r="D220" s="3" t="s">
        <v>108</v>
      </c>
      <c r="E220" s="3">
        <v>3</v>
      </c>
      <c r="F220" s="5">
        <v>147.75</v>
      </c>
      <c r="G220" s="3" t="str">
        <f>_xlfn.XLOOKUP(Sales_Table[[#This Row],[ProductID]],Products!A:A,Products!C:C,)</f>
        <v>Sports</v>
      </c>
      <c r="H220" s="8">
        <f>VLOOKUP(D220,Products_Table[],4,FALSE)</f>
        <v>49.25</v>
      </c>
      <c r="I220" s="3" t="str">
        <f>VLOOKUP(C220,Customer_Table[],4,FALSE)</f>
        <v>Canada</v>
      </c>
      <c r="J220" s="3" t="str">
        <f t="shared" si="3"/>
        <v>MATCH</v>
      </c>
    </row>
    <row r="221" spans="1:10" x14ac:dyDescent="0.25">
      <c r="A221" s="3" t="s">
        <v>365</v>
      </c>
      <c r="B221" s="4">
        <v>45415</v>
      </c>
      <c r="C221" s="3" t="s">
        <v>264</v>
      </c>
      <c r="D221" s="3" t="s">
        <v>114</v>
      </c>
      <c r="E221" s="3">
        <v>5</v>
      </c>
      <c r="F221" s="5">
        <v>1135.6500000000001</v>
      </c>
      <c r="G221" s="3" t="str">
        <f>_xlfn.XLOOKUP(Sales_Table[[#This Row],[ProductID]],Products!A:A,Products!C:C,)</f>
        <v>Electronics</v>
      </c>
      <c r="H221" s="8">
        <f>VLOOKUP(D221,Products_Table[],4,FALSE)</f>
        <v>227.13</v>
      </c>
      <c r="I221" s="3" t="str">
        <f>VLOOKUP(C221,Customer_Table[],4,FALSE)</f>
        <v>Canada</v>
      </c>
      <c r="J221" s="3" t="str">
        <f t="shared" si="3"/>
        <v>MATCH</v>
      </c>
    </row>
    <row r="222" spans="1:10" x14ac:dyDescent="0.25">
      <c r="A222" s="3" t="s">
        <v>366</v>
      </c>
      <c r="B222" s="4">
        <v>45403</v>
      </c>
      <c r="C222" s="3" t="s">
        <v>367</v>
      </c>
      <c r="D222" s="3" t="s">
        <v>114</v>
      </c>
      <c r="E222" s="3">
        <v>4</v>
      </c>
      <c r="F222" s="5">
        <v>908.52</v>
      </c>
      <c r="G222" s="3" t="str">
        <f>_xlfn.XLOOKUP(Sales_Table[[#This Row],[ProductID]],Products!A:A,Products!C:C,)</f>
        <v>Electronics</v>
      </c>
      <c r="H222" s="8">
        <f>VLOOKUP(D222,Products_Table[],4,FALSE)</f>
        <v>227.13</v>
      </c>
      <c r="I222" s="3" t="str">
        <f>VLOOKUP(C222,Customer_Table[],4,FALSE)</f>
        <v>India</v>
      </c>
      <c r="J222" s="3" t="str">
        <f t="shared" si="3"/>
        <v>MATCH</v>
      </c>
    </row>
    <row r="223" spans="1:10" x14ac:dyDescent="0.25">
      <c r="A223" s="3" t="s">
        <v>368</v>
      </c>
      <c r="B223" s="4">
        <v>45360</v>
      </c>
      <c r="C223" s="3" t="s">
        <v>310</v>
      </c>
      <c r="D223" s="3" t="s">
        <v>63</v>
      </c>
      <c r="E223" s="3">
        <v>5</v>
      </c>
      <c r="F223" s="5">
        <v>289.89999999999998</v>
      </c>
      <c r="G223" s="3" t="str">
        <f>_xlfn.XLOOKUP(Sales_Table[[#This Row],[ProductID]],Products!A:A,Products!C:C,)</f>
        <v>Sports</v>
      </c>
      <c r="H223" s="8">
        <f>VLOOKUP(D223,Products_Table[],4,FALSE)</f>
        <v>57.98</v>
      </c>
      <c r="I223" s="3" t="str">
        <f>VLOOKUP(C223,Customer_Table[],4,FALSE)</f>
        <v>United States</v>
      </c>
      <c r="J223" s="3" t="str">
        <f t="shared" si="3"/>
        <v>MATCH</v>
      </c>
    </row>
    <row r="224" spans="1:10" x14ac:dyDescent="0.25">
      <c r="A224" s="3" t="s">
        <v>369</v>
      </c>
      <c r="B224" s="4">
        <v>45354</v>
      </c>
      <c r="C224" s="3" t="s">
        <v>307</v>
      </c>
      <c r="D224" s="3" t="s">
        <v>114</v>
      </c>
      <c r="E224" s="3">
        <v>3</v>
      </c>
      <c r="F224" s="5">
        <v>681.39</v>
      </c>
      <c r="G224" s="3" t="str">
        <f>_xlfn.XLOOKUP(Sales_Table[[#This Row],[ProductID]],Products!A:A,Products!C:C,)</f>
        <v>Electronics</v>
      </c>
      <c r="H224" s="8">
        <f>VLOOKUP(D224,Products_Table[],4,FALSE)</f>
        <v>227.13</v>
      </c>
      <c r="I224" s="3" t="str">
        <f>VLOOKUP(C224,Customer_Table[],4,FALSE)</f>
        <v>Canada</v>
      </c>
      <c r="J224" s="3" t="str">
        <f t="shared" si="3"/>
        <v>MATCH</v>
      </c>
    </row>
    <row r="225" spans="1:10" x14ac:dyDescent="0.25">
      <c r="A225" s="3" t="s">
        <v>370</v>
      </c>
      <c r="B225" s="4">
        <v>45363</v>
      </c>
      <c r="C225" s="3" t="s">
        <v>111</v>
      </c>
      <c r="D225" s="3" t="s">
        <v>103</v>
      </c>
      <c r="E225" s="3">
        <v>1</v>
      </c>
      <c r="F225" s="5">
        <v>139.94999999999999</v>
      </c>
      <c r="G225" s="3" t="str">
        <f>_xlfn.XLOOKUP(Sales_Table[[#This Row],[ProductID]],Products!A:A,Products!C:C,)</f>
        <v>Beauty</v>
      </c>
      <c r="H225" s="8">
        <f>VLOOKUP(D225,Products_Table[],4,FALSE)</f>
        <v>139.94999999999999</v>
      </c>
      <c r="I225" s="3" t="str">
        <f>VLOOKUP(C225,Customer_Table[],4,FALSE)</f>
        <v>United Kingdom</v>
      </c>
      <c r="J225" s="3" t="str">
        <f t="shared" si="3"/>
        <v>MATCH</v>
      </c>
    </row>
    <row r="226" spans="1:10" x14ac:dyDescent="0.25">
      <c r="A226" s="3" t="s">
        <v>371</v>
      </c>
      <c r="B226" s="4">
        <v>45354</v>
      </c>
      <c r="C226" s="3" t="s">
        <v>135</v>
      </c>
      <c r="D226" s="3" t="s">
        <v>49</v>
      </c>
      <c r="E226" s="3">
        <v>4</v>
      </c>
      <c r="F226" s="5">
        <v>1175.2</v>
      </c>
      <c r="G226" s="3" t="str">
        <f>_xlfn.XLOOKUP(Sales_Table[[#This Row],[ProductID]],Products!A:A,Products!C:C,)</f>
        <v>Electronics</v>
      </c>
      <c r="H226" s="8">
        <f>VLOOKUP(D226,Products_Table[],4,FALSE)</f>
        <v>293.8</v>
      </c>
      <c r="I226" s="3" t="str">
        <f>VLOOKUP(C226,Customer_Table[],4,FALSE)</f>
        <v>India</v>
      </c>
      <c r="J226" s="3" t="str">
        <f t="shared" si="3"/>
        <v>MATCH</v>
      </c>
    </row>
    <row r="227" spans="1:10" x14ac:dyDescent="0.25">
      <c r="A227" s="3" t="s">
        <v>372</v>
      </c>
      <c r="B227" s="4">
        <v>45437</v>
      </c>
      <c r="C227" s="3" t="s">
        <v>32</v>
      </c>
      <c r="D227" s="3" t="s">
        <v>20</v>
      </c>
      <c r="E227" s="3">
        <v>4</v>
      </c>
      <c r="F227" s="5">
        <v>831.4</v>
      </c>
      <c r="G227" s="3" t="str">
        <f>_xlfn.XLOOKUP(Sales_Table[[#This Row],[ProductID]],Products!A:A,Products!C:C,)</f>
        <v>Clothing</v>
      </c>
      <c r="H227" s="8">
        <f>VLOOKUP(D227,Products_Table[],4,FALSE)</f>
        <v>207.85</v>
      </c>
      <c r="I227" s="3" t="str">
        <f>VLOOKUP(C227,Customer_Table[],4,FALSE)</f>
        <v>United Kingdom</v>
      </c>
      <c r="J227" s="3" t="str">
        <f t="shared" si="3"/>
        <v>MATCH</v>
      </c>
    </row>
    <row r="228" spans="1:10" x14ac:dyDescent="0.25">
      <c r="A228" s="3" t="s">
        <v>373</v>
      </c>
      <c r="B228" s="4">
        <v>45463</v>
      </c>
      <c r="C228" s="3" t="s">
        <v>139</v>
      </c>
      <c r="D228" s="3" t="s">
        <v>72</v>
      </c>
      <c r="E228" s="3">
        <v>5</v>
      </c>
      <c r="F228" s="5">
        <v>1083.5999999999999</v>
      </c>
      <c r="G228" s="3" t="str">
        <f>_xlfn.XLOOKUP(Sales_Table[[#This Row],[ProductID]],Products!A:A,Products!C:C,)</f>
        <v>Clothing</v>
      </c>
      <c r="H228" s="8">
        <f>VLOOKUP(D228,Products_Table[],4,FALSE)</f>
        <v>216.72</v>
      </c>
      <c r="I228" s="3" t="str">
        <f>VLOOKUP(C228,Customer_Table[],4,FALSE)</f>
        <v>United States</v>
      </c>
      <c r="J228" s="3" t="str">
        <f t="shared" si="3"/>
        <v>MATCH</v>
      </c>
    </row>
    <row r="229" spans="1:10" x14ac:dyDescent="0.25">
      <c r="A229" s="3" t="s">
        <v>374</v>
      </c>
      <c r="B229" s="4">
        <v>45378</v>
      </c>
      <c r="C229" s="3" t="s">
        <v>128</v>
      </c>
      <c r="D229" s="3" t="s">
        <v>132</v>
      </c>
      <c r="E229" s="3">
        <v>4</v>
      </c>
      <c r="F229" s="5">
        <v>1351.2</v>
      </c>
      <c r="G229" s="3" t="str">
        <f>_xlfn.XLOOKUP(Sales_Table[[#This Row],[ProductID]],Products!A:A,Products!C:C,)</f>
        <v>Home</v>
      </c>
      <c r="H229" s="8">
        <f>VLOOKUP(D229,Products_Table[],4,FALSE)</f>
        <v>337.8</v>
      </c>
      <c r="I229" s="3" t="str">
        <f>VLOOKUP(C229,Customer_Table[],4,FALSE)</f>
        <v>Canada</v>
      </c>
      <c r="J229" s="3" t="str">
        <f t="shared" si="3"/>
        <v>MATCH</v>
      </c>
    </row>
    <row r="230" spans="1:10" x14ac:dyDescent="0.25">
      <c r="A230" s="3" t="s">
        <v>375</v>
      </c>
      <c r="B230" s="4">
        <v>45418</v>
      </c>
      <c r="C230" s="3" t="s">
        <v>312</v>
      </c>
      <c r="D230" s="3" t="s">
        <v>52</v>
      </c>
      <c r="E230" s="3">
        <v>1</v>
      </c>
      <c r="F230" s="5">
        <v>85.85</v>
      </c>
      <c r="G230" s="3" t="str">
        <f>_xlfn.XLOOKUP(Sales_Table[[#This Row],[ProductID]],Products!A:A,Products!C:C,)</f>
        <v>Beauty</v>
      </c>
      <c r="H230" s="8">
        <f>VLOOKUP(D230,Products_Table[],4,FALSE)</f>
        <v>85.85</v>
      </c>
      <c r="I230" s="3" t="str">
        <f>VLOOKUP(C230,Customer_Table[],4,FALSE)</f>
        <v>United Kingdom</v>
      </c>
      <c r="J230" s="3" t="str">
        <f t="shared" si="3"/>
        <v>MATCH</v>
      </c>
    </row>
    <row r="231" spans="1:10" x14ac:dyDescent="0.25">
      <c r="A231" s="3" t="s">
        <v>376</v>
      </c>
      <c r="B231" s="4">
        <v>45338</v>
      </c>
      <c r="C231" s="3" t="s">
        <v>377</v>
      </c>
      <c r="D231" s="3" t="s">
        <v>122</v>
      </c>
      <c r="E231" s="3">
        <v>3</v>
      </c>
      <c r="F231" s="5">
        <v>261.42</v>
      </c>
      <c r="G231" s="3" t="str">
        <f>_xlfn.XLOOKUP(Sales_Table[[#This Row],[ProductID]],Products!A:A,Products!C:C,)</f>
        <v>Sports</v>
      </c>
      <c r="H231" s="8">
        <f>VLOOKUP(D231,Products_Table[],4,FALSE)</f>
        <v>87.14</v>
      </c>
      <c r="I231" s="3" t="str">
        <f>VLOOKUP(C231,Customer_Table[],4,FALSE)</f>
        <v>United States</v>
      </c>
      <c r="J231" s="3" t="str">
        <f t="shared" si="3"/>
        <v>MATCH</v>
      </c>
    </row>
    <row r="232" spans="1:10" x14ac:dyDescent="0.25">
      <c r="A232" s="3" t="s">
        <v>378</v>
      </c>
      <c r="B232" s="4">
        <v>45346</v>
      </c>
      <c r="C232" s="3" t="s">
        <v>241</v>
      </c>
      <c r="D232" s="3" t="s">
        <v>98</v>
      </c>
      <c r="E232" s="3">
        <v>4</v>
      </c>
      <c r="F232" s="5">
        <v>527.36</v>
      </c>
      <c r="G232" s="3" t="str">
        <f>_xlfn.XLOOKUP(Sales_Table[[#This Row],[ProductID]],Products!A:A,Products!C:C,)</f>
        <v>Electronics</v>
      </c>
      <c r="H232" s="8">
        <f>VLOOKUP(D232,Products_Table[],4,FALSE)</f>
        <v>131.84</v>
      </c>
      <c r="I232" s="3" t="str">
        <f>VLOOKUP(C232,Customer_Table[],4,FALSE)</f>
        <v>United States</v>
      </c>
      <c r="J232" s="3" t="str">
        <f t="shared" si="3"/>
        <v>MATCH</v>
      </c>
    </row>
    <row r="233" spans="1:10" x14ac:dyDescent="0.25">
      <c r="A233" s="3" t="s">
        <v>379</v>
      </c>
      <c r="B233" s="4">
        <v>45358</v>
      </c>
      <c r="C233" s="3" t="s">
        <v>377</v>
      </c>
      <c r="D233" s="3" t="s">
        <v>124</v>
      </c>
      <c r="E233" s="3">
        <v>3</v>
      </c>
      <c r="F233" s="5">
        <v>119.1</v>
      </c>
      <c r="G233" s="3" t="str">
        <f>_xlfn.XLOOKUP(Sales_Table[[#This Row],[ProductID]],Products!A:A,Products!C:C,)</f>
        <v>Electronics</v>
      </c>
      <c r="H233" s="8">
        <f>VLOOKUP(D233,Products_Table[],4,FALSE)</f>
        <v>39.700000000000003</v>
      </c>
      <c r="I233" s="3" t="str">
        <f>VLOOKUP(C233,Customer_Table[],4,FALSE)</f>
        <v>United States</v>
      </c>
      <c r="J233" s="3" t="str">
        <f t="shared" si="3"/>
        <v>MATCH</v>
      </c>
    </row>
    <row r="234" spans="1:10" x14ac:dyDescent="0.25">
      <c r="A234" s="3" t="s">
        <v>380</v>
      </c>
      <c r="B234" s="4">
        <v>45363</v>
      </c>
      <c r="C234" s="3" t="s">
        <v>141</v>
      </c>
      <c r="D234" s="3" t="s">
        <v>160</v>
      </c>
      <c r="E234" s="3">
        <v>3</v>
      </c>
      <c r="F234" s="5">
        <v>130.74</v>
      </c>
      <c r="G234" s="3" t="str">
        <f>_xlfn.XLOOKUP(Sales_Table[[#This Row],[ProductID]],Products!A:A,Products!C:C,)</f>
        <v>Clothing</v>
      </c>
      <c r="H234" s="8">
        <f>VLOOKUP(D234,Products_Table[],4,FALSE)</f>
        <v>43.58</v>
      </c>
      <c r="I234" s="3" t="str">
        <f>VLOOKUP(C234,Customer_Table[],4,FALSE)</f>
        <v>India</v>
      </c>
      <c r="J234" s="3" t="str">
        <f t="shared" si="3"/>
        <v>MATCH</v>
      </c>
    </row>
    <row r="235" spans="1:10" x14ac:dyDescent="0.25">
      <c r="A235" s="3" t="s">
        <v>381</v>
      </c>
      <c r="B235" s="4">
        <v>45471</v>
      </c>
      <c r="C235" s="3" t="s">
        <v>87</v>
      </c>
      <c r="D235" s="3" t="s">
        <v>44</v>
      </c>
      <c r="E235" s="3">
        <v>5</v>
      </c>
      <c r="F235" s="5">
        <v>1363.9</v>
      </c>
      <c r="G235" s="3" t="str">
        <f>_xlfn.XLOOKUP(Sales_Table[[#This Row],[ProductID]],Products!A:A,Products!C:C,)</f>
        <v>Clothing</v>
      </c>
      <c r="H235" s="8">
        <f>VLOOKUP(D235,Products_Table[],4,FALSE)</f>
        <v>272.77999999999997</v>
      </c>
      <c r="I235" s="3" t="str">
        <f>VLOOKUP(C235,Customer_Table[],4,FALSE)</f>
        <v>United Kingdom</v>
      </c>
      <c r="J235" s="3" t="str">
        <f t="shared" si="3"/>
        <v>MATCH</v>
      </c>
    </row>
    <row r="236" spans="1:10" x14ac:dyDescent="0.25">
      <c r="A236" s="3" t="s">
        <v>382</v>
      </c>
      <c r="B236" s="4">
        <v>45434</v>
      </c>
      <c r="C236" s="3" t="s">
        <v>302</v>
      </c>
      <c r="D236" s="3" t="s">
        <v>44</v>
      </c>
      <c r="E236" s="3">
        <v>3</v>
      </c>
      <c r="F236" s="5">
        <v>818.34</v>
      </c>
      <c r="G236" s="3" t="str">
        <f>_xlfn.XLOOKUP(Sales_Table[[#This Row],[ProductID]],Products!A:A,Products!C:C,)</f>
        <v>Clothing</v>
      </c>
      <c r="H236" s="8">
        <f>VLOOKUP(D236,Products_Table[],4,FALSE)</f>
        <v>272.77999999999997</v>
      </c>
      <c r="I236" s="3" t="str">
        <f>VLOOKUP(C236,Customer_Table[],4,FALSE)</f>
        <v>United States</v>
      </c>
      <c r="J236" s="3" t="str">
        <f t="shared" si="3"/>
        <v>MATCH</v>
      </c>
    </row>
    <row r="237" spans="1:10" x14ac:dyDescent="0.25">
      <c r="A237" s="3" t="s">
        <v>383</v>
      </c>
      <c r="B237" s="4">
        <v>45424</v>
      </c>
      <c r="C237" s="3" t="s">
        <v>384</v>
      </c>
      <c r="D237" s="3" t="s">
        <v>17</v>
      </c>
      <c r="E237" s="3">
        <v>1</v>
      </c>
      <c r="F237" s="5">
        <v>394.46</v>
      </c>
      <c r="G237" s="3" t="str">
        <f>_xlfn.XLOOKUP(Sales_Table[[#This Row],[ProductID]],Products!A:A,Products!C:C,)</f>
        <v>Clothing</v>
      </c>
      <c r="H237" s="8">
        <f>VLOOKUP(D237,Products_Table[],4,FALSE)</f>
        <v>394.46</v>
      </c>
      <c r="I237" s="3" t="str">
        <f>VLOOKUP(C237,Customer_Table[],4,FALSE)</f>
        <v>India</v>
      </c>
      <c r="J237" s="3" t="str">
        <f t="shared" si="3"/>
        <v>MATCH</v>
      </c>
    </row>
    <row r="238" spans="1:10" x14ac:dyDescent="0.25">
      <c r="A238" s="3" t="s">
        <v>385</v>
      </c>
      <c r="B238" s="4">
        <v>45313</v>
      </c>
      <c r="C238" s="3" t="s">
        <v>258</v>
      </c>
      <c r="D238" s="3" t="s">
        <v>20</v>
      </c>
      <c r="E238" s="3">
        <v>2</v>
      </c>
      <c r="F238" s="5">
        <v>415.7</v>
      </c>
      <c r="G238" s="3" t="str">
        <f>_xlfn.XLOOKUP(Sales_Table[[#This Row],[ProductID]],Products!A:A,Products!C:C,)</f>
        <v>Clothing</v>
      </c>
      <c r="H238" s="8">
        <f>VLOOKUP(D238,Products_Table[],4,FALSE)</f>
        <v>207.85</v>
      </c>
      <c r="I238" s="3" t="str">
        <f>VLOOKUP(C238,Customer_Table[],4,FALSE)</f>
        <v>Canada</v>
      </c>
      <c r="J238" s="3" t="str">
        <f t="shared" si="3"/>
        <v>MATCH</v>
      </c>
    </row>
    <row r="239" spans="1:10" x14ac:dyDescent="0.25">
      <c r="A239" s="3" t="s">
        <v>386</v>
      </c>
      <c r="B239" s="4">
        <v>45396</v>
      </c>
      <c r="C239" s="3" t="s">
        <v>13</v>
      </c>
      <c r="D239" s="3" t="s">
        <v>49</v>
      </c>
      <c r="E239" s="3">
        <v>2</v>
      </c>
      <c r="F239" s="5">
        <v>587.6</v>
      </c>
      <c r="G239" s="3" t="str">
        <f>_xlfn.XLOOKUP(Sales_Table[[#This Row],[ProductID]],Products!A:A,Products!C:C,)</f>
        <v>Electronics</v>
      </c>
      <c r="H239" s="8">
        <f>VLOOKUP(D239,Products_Table[],4,FALSE)</f>
        <v>293.8</v>
      </c>
      <c r="I239" s="3" t="str">
        <f>VLOOKUP(C239,Customer_Table[],4,FALSE)</f>
        <v>Canada</v>
      </c>
      <c r="J239" s="3" t="str">
        <f t="shared" si="3"/>
        <v>MATCH</v>
      </c>
    </row>
    <row r="240" spans="1:10" x14ac:dyDescent="0.25">
      <c r="A240" s="3" t="s">
        <v>387</v>
      </c>
      <c r="B240" s="4">
        <v>45434</v>
      </c>
      <c r="C240" s="3" t="s">
        <v>388</v>
      </c>
      <c r="D240" s="3" t="s">
        <v>41</v>
      </c>
      <c r="E240" s="3">
        <v>4</v>
      </c>
      <c r="F240" s="5">
        <v>152.04</v>
      </c>
      <c r="G240" s="3" t="str">
        <f>_xlfn.XLOOKUP(Sales_Table[[#This Row],[ProductID]],Products!A:A,Products!C:C,)</f>
        <v>Home</v>
      </c>
      <c r="H240" s="8">
        <f>VLOOKUP(D240,Products_Table[],4,FALSE)</f>
        <v>38.01</v>
      </c>
      <c r="I240" s="3" t="str">
        <f>VLOOKUP(C240,Customer_Table[],4,FALSE)</f>
        <v>India</v>
      </c>
      <c r="J240" s="3" t="str">
        <f t="shared" si="3"/>
        <v>MATCH</v>
      </c>
    </row>
    <row r="241" spans="1:10" x14ac:dyDescent="0.25">
      <c r="A241" s="3" t="s">
        <v>389</v>
      </c>
      <c r="B241" s="4">
        <v>45468</v>
      </c>
      <c r="C241" s="3" t="s">
        <v>245</v>
      </c>
      <c r="D241" s="3" t="s">
        <v>196</v>
      </c>
      <c r="E241" s="3">
        <v>2</v>
      </c>
      <c r="F241" s="5">
        <v>491.74</v>
      </c>
      <c r="G241" s="3" t="str">
        <f>_xlfn.XLOOKUP(Sales_Table[[#This Row],[ProductID]],Products!A:A,Products!C:C,)</f>
        <v>Beauty</v>
      </c>
      <c r="H241" s="8">
        <f>VLOOKUP(D241,Products_Table[],4,FALSE)</f>
        <v>245.87</v>
      </c>
      <c r="I241" s="3" t="str">
        <f>VLOOKUP(C241,Customer_Table[],4,FALSE)</f>
        <v>United Kingdom</v>
      </c>
      <c r="J241" s="3" t="str">
        <f t="shared" si="3"/>
        <v>MATCH</v>
      </c>
    </row>
    <row r="242" spans="1:10" x14ac:dyDescent="0.25">
      <c r="A242" s="3" t="s">
        <v>390</v>
      </c>
      <c r="B242" s="4">
        <v>45457</v>
      </c>
      <c r="C242" s="3" t="s">
        <v>391</v>
      </c>
      <c r="D242" s="3" t="s">
        <v>132</v>
      </c>
      <c r="E242" s="3">
        <v>4</v>
      </c>
      <c r="F242" s="5">
        <v>1351.2</v>
      </c>
      <c r="G242" s="3" t="str">
        <f>_xlfn.XLOOKUP(Sales_Table[[#This Row],[ProductID]],Products!A:A,Products!C:C,)</f>
        <v>Home</v>
      </c>
      <c r="H242" s="8">
        <f>VLOOKUP(D242,Products_Table[],4,FALSE)</f>
        <v>337.8</v>
      </c>
      <c r="I242" s="3" t="str">
        <f>VLOOKUP(C242,Customer_Table[],4,FALSE)</f>
        <v>United Kingdom</v>
      </c>
      <c r="J242" s="3" t="str">
        <f t="shared" si="3"/>
        <v>MATCH</v>
      </c>
    </row>
    <row r="243" spans="1:10" x14ac:dyDescent="0.25">
      <c r="A243" s="3" t="s">
        <v>392</v>
      </c>
      <c r="B243" s="4">
        <v>45406</v>
      </c>
      <c r="C243" s="3" t="s">
        <v>233</v>
      </c>
      <c r="D243" s="3" t="s">
        <v>23</v>
      </c>
      <c r="E243" s="3">
        <v>4</v>
      </c>
      <c r="F243" s="5">
        <v>413.2</v>
      </c>
      <c r="G243" s="3" t="str">
        <f>_xlfn.XLOOKUP(Sales_Table[[#This Row],[ProductID]],Products!A:A,Products!C:C,)</f>
        <v>Beauty</v>
      </c>
      <c r="H243" s="8">
        <f>VLOOKUP(D243,Products_Table[],4,FALSE)</f>
        <v>103.3</v>
      </c>
      <c r="I243" s="3" t="str">
        <f>VLOOKUP(C243,Customer_Table[],4,FALSE)</f>
        <v>India</v>
      </c>
      <c r="J243" s="3" t="str">
        <f t="shared" si="3"/>
        <v>MATCH</v>
      </c>
    </row>
    <row r="244" spans="1:10" x14ac:dyDescent="0.25">
      <c r="A244" s="3" t="s">
        <v>393</v>
      </c>
      <c r="B244" s="4">
        <v>45315</v>
      </c>
      <c r="C244" s="3" t="s">
        <v>43</v>
      </c>
      <c r="D244" s="3" t="s">
        <v>103</v>
      </c>
      <c r="E244" s="3">
        <v>1</v>
      </c>
      <c r="F244" s="5">
        <v>139.94999999999999</v>
      </c>
      <c r="G244" s="3" t="str">
        <f>_xlfn.XLOOKUP(Sales_Table[[#This Row],[ProductID]],Products!A:A,Products!C:C,)</f>
        <v>Beauty</v>
      </c>
      <c r="H244" s="8">
        <f>VLOOKUP(D244,Products_Table[],4,FALSE)</f>
        <v>139.94999999999999</v>
      </c>
      <c r="I244" s="3" t="str">
        <f>VLOOKUP(C244,Customer_Table[],4,FALSE)</f>
        <v>United States</v>
      </c>
      <c r="J244" s="3" t="str">
        <f t="shared" si="3"/>
        <v>MATCH</v>
      </c>
    </row>
    <row r="245" spans="1:10" x14ac:dyDescent="0.25">
      <c r="A245" s="3" t="s">
        <v>394</v>
      </c>
      <c r="B245" s="4">
        <v>45348</v>
      </c>
      <c r="C245" s="3" t="s">
        <v>334</v>
      </c>
      <c r="D245" s="3" t="s">
        <v>129</v>
      </c>
      <c r="E245" s="3">
        <v>3</v>
      </c>
      <c r="F245" s="5">
        <v>350.01</v>
      </c>
      <c r="G245" s="3" t="str">
        <f>_xlfn.XLOOKUP(Sales_Table[[#This Row],[ProductID]],Products!A:A,Products!C:C,)</f>
        <v>Home</v>
      </c>
      <c r="H245" s="8">
        <f>VLOOKUP(D245,Products_Table[],4,FALSE)</f>
        <v>116.67</v>
      </c>
      <c r="I245" s="3" t="str">
        <f>VLOOKUP(C245,Customer_Table[],4,FALSE)</f>
        <v>United Kingdom</v>
      </c>
      <c r="J245" s="3" t="str">
        <f t="shared" si="3"/>
        <v>MATCH</v>
      </c>
    </row>
    <row r="246" spans="1:10" x14ac:dyDescent="0.25">
      <c r="A246" s="3" t="s">
        <v>395</v>
      </c>
      <c r="B246" s="4">
        <v>45469</v>
      </c>
      <c r="C246" s="3" t="s">
        <v>396</v>
      </c>
      <c r="D246" s="3" t="s">
        <v>260</v>
      </c>
      <c r="E246" s="3">
        <v>4</v>
      </c>
      <c r="F246" s="5">
        <v>782.8</v>
      </c>
      <c r="G246" s="3" t="str">
        <f>_xlfn.XLOOKUP(Sales_Table[[#This Row],[ProductID]],Products!A:A,Products!C:C,)</f>
        <v>Clothing</v>
      </c>
      <c r="H246" s="8">
        <f>VLOOKUP(D246,Products_Table[],4,FALSE)</f>
        <v>195.7</v>
      </c>
      <c r="I246" s="3" t="str">
        <f>VLOOKUP(C246,Customer_Table[],4,FALSE)</f>
        <v>United States</v>
      </c>
      <c r="J246" s="3" t="str">
        <f t="shared" si="3"/>
        <v>MATCH</v>
      </c>
    </row>
    <row r="247" spans="1:10" x14ac:dyDescent="0.25">
      <c r="A247" s="3" t="s">
        <v>397</v>
      </c>
      <c r="B247" s="4">
        <v>45370</v>
      </c>
      <c r="C247" s="3" t="s">
        <v>235</v>
      </c>
      <c r="D247" s="3" t="s">
        <v>52</v>
      </c>
      <c r="E247" s="3">
        <v>2</v>
      </c>
      <c r="F247" s="5">
        <v>171.7</v>
      </c>
      <c r="G247" s="3" t="str">
        <f>_xlfn.XLOOKUP(Sales_Table[[#This Row],[ProductID]],Products!A:A,Products!C:C,)</f>
        <v>Beauty</v>
      </c>
      <c r="H247" s="8">
        <f>VLOOKUP(D247,Products_Table[],4,FALSE)</f>
        <v>85.85</v>
      </c>
      <c r="I247" s="3" t="str">
        <f>VLOOKUP(C247,Customer_Table[],4,FALSE)</f>
        <v>United States</v>
      </c>
      <c r="J247" s="3" t="str">
        <f t="shared" si="3"/>
        <v>MATCH</v>
      </c>
    </row>
    <row r="248" spans="1:10" x14ac:dyDescent="0.25">
      <c r="A248" s="3" t="s">
        <v>398</v>
      </c>
      <c r="B248" s="4">
        <v>45386</v>
      </c>
      <c r="C248" s="3" t="s">
        <v>264</v>
      </c>
      <c r="D248" s="3" t="s">
        <v>304</v>
      </c>
      <c r="E248" s="3">
        <v>5</v>
      </c>
      <c r="F248" s="5">
        <v>1371.1</v>
      </c>
      <c r="G248" s="3" t="str">
        <f>_xlfn.XLOOKUP(Sales_Table[[#This Row],[ProductID]],Products!A:A,Products!C:C,)</f>
        <v>Clothing</v>
      </c>
      <c r="H248" s="8">
        <f>VLOOKUP(D248,Products_Table[],4,FALSE)</f>
        <v>274.22000000000003</v>
      </c>
      <c r="I248" s="3" t="str">
        <f>VLOOKUP(C248,Customer_Table[],4,FALSE)</f>
        <v>Canada</v>
      </c>
      <c r="J248" s="3" t="str">
        <f t="shared" si="3"/>
        <v>MATCH</v>
      </c>
    </row>
    <row r="249" spans="1:10" x14ac:dyDescent="0.25">
      <c r="A249" s="3" t="s">
        <v>399</v>
      </c>
      <c r="B249" s="4">
        <v>45433</v>
      </c>
      <c r="C249" s="3" t="s">
        <v>323</v>
      </c>
      <c r="D249" s="3" t="s">
        <v>14</v>
      </c>
      <c r="E249" s="3">
        <v>4</v>
      </c>
      <c r="F249" s="5">
        <v>946.76</v>
      </c>
      <c r="G249" s="3" t="str">
        <f>_xlfn.XLOOKUP(Sales_Table[[#This Row],[ProductID]],Products!A:A,Products!C:C,)</f>
        <v>Home</v>
      </c>
      <c r="H249" s="8">
        <f>VLOOKUP(D249,Products_Table[],4,FALSE)</f>
        <v>236.69</v>
      </c>
      <c r="I249" s="3" t="str">
        <f>VLOOKUP(C249,Customer_Table[],4,FALSE)</f>
        <v>United States</v>
      </c>
      <c r="J249" s="3" t="str">
        <f t="shared" si="3"/>
        <v>MATCH</v>
      </c>
    </row>
    <row r="250" spans="1:10" x14ac:dyDescent="0.25">
      <c r="A250" s="3" t="s">
        <v>400</v>
      </c>
      <c r="B250" s="4">
        <v>45380</v>
      </c>
      <c r="C250" s="3" t="s">
        <v>89</v>
      </c>
      <c r="D250" s="3" t="s">
        <v>55</v>
      </c>
      <c r="E250" s="3">
        <v>5</v>
      </c>
      <c r="F250" s="5">
        <v>653.25</v>
      </c>
      <c r="G250" s="3" t="str">
        <f>_xlfn.XLOOKUP(Sales_Table[[#This Row],[ProductID]],Products!A:A,Products!C:C,)</f>
        <v>Sports</v>
      </c>
      <c r="H250" s="8">
        <f>VLOOKUP(D250,Products_Table[],4,FALSE)</f>
        <v>130.65</v>
      </c>
      <c r="I250" s="3" t="str">
        <f>VLOOKUP(C250,Customer_Table[],4,FALSE)</f>
        <v>United Kingdom</v>
      </c>
      <c r="J250" s="3" t="str">
        <f t="shared" si="3"/>
        <v>MATCH</v>
      </c>
    </row>
    <row r="251" spans="1:10" x14ac:dyDescent="0.25">
      <c r="A251" s="3" t="s">
        <v>401</v>
      </c>
      <c r="B251" s="4">
        <v>45432</v>
      </c>
      <c r="C251" s="3" t="s">
        <v>19</v>
      </c>
      <c r="D251" s="3" t="s">
        <v>231</v>
      </c>
      <c r="E251" s="3">
        <v>4</v>
      </c>
      <c r="F251" s="5">
        <v>974.52</v>
      </c>
      <c r="G251" s="3" t="str">
        <f>_xlfn.XLOOKUP(Sales_Table[[#This Row],[ProductID]],Products!A:A,Products!C:C,)</f>
        <v>Sports</v>
      </c>
      <c r="H251" s="8">
        <f>VLOOKUP(D251,Products_Table[],4,FALSE)</f>
        <v>243.63</v>
      </c>
      <c r="I251" s="3" t="str">
        <f>VLOOKUP(C251,Customer_Table[],4,FALSE)</f>
        <v>United States</v>
      </c>
      <c r="J251" s="3" t="str">
        <f t="shared" si="3"/>
        <v>MATCH</v>
      </c>
    </row>
    <row r="252" spans="1:10" x14ac:dyDescent="0.25">
      <c r="A252" s="3" t="s">
        <v>402</v>
      </c>
      <c r="B252" s="4">
        <v>45382</v>
      </c>
      <c r="C252" s="3" t="s">
        <v>159</v>
      </c>
      <c r="D252" s="3" t="s">
        <v>231</v>
      </c>
      <c r="E252" s="3">
        <v>3</v>
      </c>
      <c r="F252" s="5">
        <v>730.89</v>
      </c>
      <c r="G252" s="3" t="str">
        <f>_xlfn.XLOOKUP(Sales_Table[[#This Row],[ProductID]],Products!A:A,Products!C:C,)</f>
        <v>Sports</v>
      </c>
      <c r="H252" s="8">
        <f>VLOOKUP(D252,Products_Table[],4,FALSE)</f>
        <v>243.63</v>
      </c>
      <c r="I252" s="3" t="str">
        <f>VLOOKUP(C252,Customer_Table[],4,FALSE)</f>
        <v>United States</v>
      </c>
      <c r="J252" s="3" t="str">
        <f t="shared" si="3"/>
        <v>MATCH</v>
      </c>
    </row>
    <row r="253" spans="1:10" x14ac:dyDescent="0.25">
      <c r="A253" s="3" t="s">
        <v>403</v>
      </c>
      <c r="B253" s="4">
        <v>45361</v>
      </c>
      <c r="C253" s="3" t="s">
        <v>74</v>
      </c>
      <c r="D253" s="3" t="s">
        <v>63</v>
      </c>
      <c r="E253" s="3">
        <v>4</v>
      </c>
      <c r="F253" s="5">
        <v>231.92</v>
      </c>
      <c r="G253" s="3" t="str">
        <f>_xlfn.XLOOKUP(Sales_Table[[#This Row],[ProductID]],Products!A:A,Products!C:C,)</f>
        <v>Sports</v>
      </c>
      <c r="H253" s="8">
        <f>VLOOKUP(D253,Products_Table[],4,FALSE)</f>
        <v>57.98</v>
      </c>
      <c r="I253" s="3" t="str">
        <f>VLOOKUP(C253,Customer_Table[],4,FALSE)</f>
        <v>India</v>
      </c>
      <c r="J253" s="3" t="str">
        <f t="shared" si="3"/>
        <v>MATCH</v>
      </c>
    </row>
    <row r="254" spans="1:10" x14ac:dyDescent="0.25">
      <c r="A254" s="3" t="s">
        <v>404</v>
      </c>
      <c r="B254" s="4">
        <v>45356</v>
      </c>
      <c r="C254" s="3" t="s">
        <v>93</v>
      </c>
      <c r="D254" s="3" t="s">
        <v>98</v>
      </c>
      <c r="E254" s="3">
        <v>3</v>
      </c>
      <c r="F254" s="5">
        <v>395.52</v>
      </c>
      <c r="G254" s="3" t="str">
        <f>_xlfn.XLOOKUP(Sales_Table[[#This Row],[ProductID]],Products!A:A,Products!C:C,)</f>
        <v>Electronics</v>
      </c>
      <c r="H254" s="8">
        <f>VLOOKUP(D254,Products_Table[],4,FALSE)</f>
        <v>131.84</v>
      </c>
      <c r="I254" s="3" t="str">
        <f>VLOOKUP(C254,Customer_Table[],4,FALSE)</f>
        <v>United States</v>
      </c>
      <c r="J254" s="3" t="str">
        <f t="shared" si="3"/>
        <v>MATCH</v>
      </c>
    </row>
    <row r="255" spans="1:10" x14ac:dyDescent="0.25">
      <c r="A255" s="3" t="s">
        <v>405</v>
      </c>
      <c r="B255" s="4">
        <v>45322</v>
      </c>
      <c r="C255" s="3" t="s">
        <v>67</v>
      </c>
      <c r="D255" s="3" t="s">
        <v>160</v>
      </c>
      <c r="E255" s="3">
        <v>2</v>
      </c>
      <c r="F255" s="5">
        <v>87.16</v>
      </c>
      <c r="G255" s="3" t="str">
        <f>_xlfn.XLOOKUP(Sales_Table[[#This Row],[ProductID]],Products!A:A,Products!C:C,)</f>
        <v>Clothing</v>
      </c>
      <c r="H255" s="8">
        <f>VLOOKUP(D255,Products_Table[],4,FALSE)</f>
        <v>43.58</v>
      </c>
      <c r="I255" s="3" t="str">
        <f>VLOOKUP(C255,Customer_Table[],4,FALSE)</f>
        <v>Canada</v>
      </c>
      <c r="J255" s="3" t="str">
        <f t="shared" si="3"/>
        <v>MATCH</v>
      </c>
    </row>
    <row r="256" spans="1:10" x14ac:dyDescent="0.25">
      <c r="A256" s="3" t="s">
        <v>406</v>
      </c>
      <c r="B256" s="4">
        <v>45372</v>
      </c>
      <c r="C256" s="3" t="s">
        <v>384</v>
      </c>
      <c r="D256" s="3" t="s">
        <v>196</v>
      </c>
      <c r="E256" s="3">
        <v>2</v>
      </c>
      <c r="F256" s="5">
        <v>491.74</v>
      </c>
      <c r="G256" s="3" t="str">
        <f>_xlfn.XLOOKUP(Sales_Table[[#This Row],[ProductID]],Products!A:A,Products!C:C,)</f>
        <v>Beauty</v>
      </c>
      <c r="H256" s="8">
        <f>VLOOKUP(D256,Products_Table[],4,FALSE)</f>
        <v>245.87</v>
      </c>
      <c r="I256" s="3" t="str">
        <f>VLOOKUP(C256,Customer_Table[],4,FALSE)</f>
        <v>India</v>
      </c>
      <c r="J256" s="3" t="str">
        <f t="shared" si="3"/>
        <v>MATCH</v>
      </c>
    </row>
    <row r="257" spans="1:10" x14ac:dyDescent="0.25">
      <c r="A257" s="3" t="s">
        <v>407</v>
      </c>
      <c r="B257" s="4">
        <v>45429</v>
      </c>
      <c r="C257" s="3" t="s">
        <v>310</v>
      </c>
      <c r="D257" s="3" t="s">
        <v>160</v>
      </c>
      <c r="E257" s="3">
        <v>1</v>
      </c>
      <c r="F257" s="5">
        <v>43.58</v>
      </c>
      <c r="G257" s="3" t="str">
        <f>_xlfn.XLOOKUP(Sales_Table[[#This Row],[ProductID]],Products!A:A,Products!C:C,)</f>
        <v>Clothing</v>
      </c>
      <c r="H257" s="8">
        <f>VLOOKUP(D257,Products_Table[],4,FALSE)</f>
        <v>43.58</v>
      </c>
      <c r="I257" s="3" t="str">
        <f>VLOOKUP(C257,Customer_Table[],4,FALSE)</f>
        <v>United States</v>
      </c>
      <c r="J257" s="3" t="str">
        <f t="shared" si="3"/>
        <v>MATCH</v>
      </c>
    </row>
    <row r="258" spans="1:10" x14ac:dyDescent="0.25">
      <c r="A258" s="3" t="s">
        <v>408</v>
      </c>
      <c r="B258" s="4">
        <v>45341</v>
      </c>
      <c r="C258" s="3" t="s">
        <v>318</v>
      </c>
      <c r="D258" s="3" t="s">
        <v>132</v>
      </c>
      <c r="E258" s="3">
        <v>2</v>
      </c>
      <c r="F258" s="5">
        <v>675.6</v>
      </c>
      <c r="G258" s="3" t="str">
        <f>_xlfn.XLOOKUP(Sales_Table[[#This Row],[ProductID]],Products!A:A,Products!C:C,)</f>
        <v>Home</v>
      </c>
      <c r="H258" s="8">
        <f>VLOOKUP(D258,Products_Table[],4,FALSE)</f>
        <v>337.8</v>
      </c>
      <c r="I258" s="3" t="str">
        <f>VLOOKUP(C258,Customer_Table[],4,FALSE)</f>
        <v>United Kingdom</v>
      </c>
      <c r="J258" s="3" t="str">
        <f t="shared" ref="J258:J321" si="4">IF($E$2*$H$2=$F$2,"MATCH","DESCREPANCY")</f>
        <v>MATCH</v>
      </c>
    </row>
    <row r="259" spans="1:10" x14ac:dyDescent="0.25">
      <c r="A259" s="3" t="s">
        <v>409</v>
      </c>
      <c r="B259" s="4">
        <v>45415</v>
      </c>
      <c r="C259" s="3" t="s">
        <v>410</v>
      </c>
      <c r="D259" s="3" t="s">
        <v>129</v>
      </c>
      <c r="E259" s="3">
        <v>2</v>
      </c>
      <c r="F259" s="5">
        <v>233.34</v>
      </c>
      <c r="G259" s="3" t="str">
        <f>_xlfn.XLOOKUP(Sales_Table[[#This Row],[ProductID]],Products!A:A,Products!C:C,)</f>
        <v>Home</v>
      </c>
      <c r="H259" s="8">
        <f>VLOOKUP(D259,Products_Table[],4,FALSE)</f>
        <v>116.67</v>
      </c>
      <c r="I259" s="3" t="str">
        <f>VLOOKUP(C259,Customer_Table[],4,FALSE)</f>
        <v>United Kingdom</v>
      </c>
      <c r="J259" s="3" t="str">
        <f t="shared" si="4"/>
        <v>MATCH</v>
      </c>
    </row>
    <row r="260" spans="1:10" x14ac:dyDescent="0.25">
      <c r="A260" s="3" t="s">
        <v>411</v>
      </c>
      <c r="B260" s="4">
        <v>45442</v>
      </c>
      <c r="C260" s="3" t="s">
        <v>310</v>
      </c>
      <c r="D260" s="3" t="s">
        <v>146</v>
      </c>
      <c r="E260" s="3">
        <v>3</v>
      </c>
      <c r="F260" s="5">
        <v>998.7</v>
      </c>
      <c r="G260" s="3" t="str">
        <f>_xlfn.XLOOKUP(Sales_Table[[#This Row],[ProductID]],Products!A:A,Products!C:C,)</f>
        <v>Electronics</v>
      </c>
      <c r="H260" s="8">
        <f>VLOOKUP(D260,Products_Table[],4,FALSE)</f>
        <v>332.9</v>
      </c>
      <c r="I260" s="3" t="str">
        <f>VLOOKUP(C260,Customer_Table[],4,FALSE)</f>
        <v>United States</v>
      </c>
      <c r="J260" s="3" t="str">
        <f t="shared" si="4"/>
        <v>MATCH</v>
      </c>
    </row>
    <row r="261" spans="1:10" x14ac:dyDescent="0.25">
      <c r="A261" s="3" t="s">
        <v>412</v>
      </c>
      <c r="B261" s="4">
        <v>45444</v>
      </c>
      <c r="C261" s="3" t="s">
        <v>89</v>
      </c>
      <c r="D261" s="3" t="s">
        <v>124</v>
      </c>
      <c r="E261" s="3">
        <v>5</v>
      </c>
      <c r="F261" s="5">
        <v>198.5</v>
      </c>
      <c r="G261" s="3" t="str">
        <f>_xlfn.XLOOKUP(Sales_Table[[#This Row],[ProductID]],Products!A:A,Products!C:C,)</f>
        <v>Electronics</v>
      </c>
      <c r="H261" s="8">
        <f>VLOOKUP(D261,Products_Table[],4,FALSE)</f>
        <v>39.700000000000003</v>
      </c>
      <c r="I261" s="3" t="str">
        <f>VLOOKUP(C261,Customer_Table[],4,FALSE)</f>
        <v>United Kingdom</v>
      </c>
      <c r="J261" s="3" t="str">
        <f t="shared" si="4"/>
        <v>MATCH</v>
      </c>
    </row>
    <row r="262" spans="1:10" x14ac:dyDescent="0.25">
      <c r="A262" s="3" t="s">
        <v>413</v>
      </c>
      <c r="B262" s="4">
        <v>45317</v>
      </c>
      <c r="C262" s="3" t="s">
        <v>312</v>
      </c>
      <c r="D262" s="3" t="s">
        <v>20</v>
      </c>
      <c r="E262" s="3">
        <v>3</v>
      </c>
      <c r="F262" s="5">
        <v>623.54999999999995</v>
      </c>
      <c r="G262" s="3" t="str">
        <f>_xlfn.XLOOKUP(Sales_Table[[#This Row],[ProductID]],Products!A:A,Products!C:C,)</f>
        <v>Clothing</v>
      </c>
      <c r="H262" s="8">
        <f>VLOOKUP(D262,Products_Table[],4,FALSE)</f>
        <v>207.85</v>
      </c>
      <c r="I262" s="3" t="str">
        <f>VLOOKUP(C262,Customer_Table[],4,FALSE)</f>
        <v>United Kingdom</v>
      </c>
      <c r="J262" s="3" t="str">
        <f t="shared" si="4"/>
        <v>MATCH</v>
      </c>
    </row>
    <row r="263" spans="1:10" x14ac:dyDescent="0.25">
      <c r="A263" s="3" t="s">
        <v>414</v>
      </c>
      <c r="B263" s="4">
        <v>45367</v>
      </c>
      <c r="C263" s="3" t="s">
        <v>241</v>
      </c>
      <c r="D263" s="3" t="s">
        <v>260</v>
      </c>
      <c r="E263" s="3">
        <v>2</v>
      </c>
      <c r="F263" s="5">
        <v>391.4</v>
      </c>
      <c r="G263" s="3" t="str">
        <f>_xlfn.XLOOKUP(Sales_Table[[#This Row],[ProductID]],Products!A:A,Products!C:C,)</f>
        <v>Clothing</v>
      </c>
      <c r="H263" s="8">
        <f>VLOOKUP(D263,Products_Table[],4,FALSE)</f>
        <v>195.7</v>
      </c>
      <c r="I263" s="3" t="str">
        <f>VLOOKUP(C263,Customer_Table[],4,FALSE)</f>
        <v>United States</v>
      </c>
      <c r="J263" s="3" t="str">
        <f t="shared" si="4"/>
        <v>MATCH</v>
      </c>
    </row>
    <row r="264" spans="1:10" x14ac:dyDescent="0.25">
      <c r="A264" s="3" t="s">
        <v>415</v>
      </c>
      <c r="B264" s="4">
        <v>45384</v>
      </c>
      <c r="C264" s="3" t="s">
        <v>258</v>
      </c>
      <c r="D264" s="3" t="s">
        <v>98</v>
      </c>
      <c r="E264" s="3">
        <v>2</v>
      </c>
      <c r="F264" s="5">
        <v>263.68</v>
      </c>
      <c r="G264" s="3" t="str">
        <f>_xlfn.XLOOKUP(Sales_Table[[#This Row],[ProductID]],Products!A:A,Products!C:C,)</f>
        <v>Electronics</v>
      </c>
      <c r="H264" s="8">
        <f>VLOOKUP(D264,Products_Table[],4,FALSE)</f>
        <v>131.84</v>
      </c>
      <c r="I264" s="3" t="str">
        <f>VLOOKUP(C264,Customer_Table[],4,FALSE)</f>
        <v>Canada</v>
      </c>
      <c r="J264" s="3" t="str">
        <f t="shared" si="4"/>
        <v>MATCH</v>
      </c>
    </row>
    <row r="265" spans="1:10" x14ac:dyDescent="0.25">
      <c r="A265" s="3" t="s">
        <v>416</v>
      </c>
      <c r="B265" s="4">
        <v>45369</v>
      </c>
      <c r="C265" s="3" t="s">
        <v>295</v>
      </c>
      <c r="D265" s="3" t="s">
        <v>55</v>
      </c>
      <c r="E265" s="3">
        <v>2</v>
      </c>
      <c r="F265" s="5">
        <v>261.3</v>
      </c>
      <c r="G265" s="3" t="str">
        <f>_xlfn.XLOOKUP(Sales_Table[[#This Row],[ProductID]],Products!A:A,Products!C:C,)</f>
        <v>Sports</v>
      </c>
      <c r="H265" s="8">
        <f>VLOOKUP(D265,Products_Table[],4,FALSE)</f>
        <v>130.65</v>
      </c>
      <c r="I265" s="3" t="str">
        <f>VLOOKUP(C265,Customer_Table[],4,FALSE)</f>
        <v>United States</v>
      </c>
      <c r="J265" s="3" t="str">
        <f t="shared" si="4"/>
        <v>MATCH</v>
      </c>
    </row>
    <row r="266" spans="1:10" x14ac:dyDescent="0.25">
      <c r="A266" s="3" t="s">
        <v>417</v>
      </c>
      <c r="B266" s="4">
        <v>45428</v>
      </c>
      <c r="C266" s="3" t="s">
        <v>70</v>
      </c>
      <c r="D266" s="3" t="s">
        <v>26</v>
      </c>
      <c r="E266" s="3">
        <v>1</v>
      </c>
      <c r="F266" s="5">
        <v>149.77000000000001</v>
      </c>
      <c r="G266" s="3" t="str">
        <f>_xlfn.XLOOKUP(Sales_Table[[#This Row],[ProductID]],Products!A:A,Products!C:C,)</f>
        <v>Beauty</v>
      </c>
      <c r="H266" s="8">
        <f>VLOOKUP(D266,Products_Table[],4,FALSE)</f>
        <v>149.77000000000001</v>
      </c>
      <c r="I266" s="3" t="str">
        <f>VLOOKUP(C266,Customer_Table[],4,FALSE)</f>
        <v>United States</v>
      </c>
      <c r="J266" s="3" t="str">
        <f t="shared" si="4"/>
        <v>MATCH</v>
      </c>
    </row>
    <row r="267" spans="1:10" x14ac:dyDescent="0.25">
      <c r="A267" s="3" t="s">
        <v>418</v>
      </c>
      <c r="B267" s="4">
        <v>45362</v>
      </c>
      <c r="C267" s="3" t="s">
        <v>89</v>
      </c>
      <c r="D267" s="3" t="s">
        <v>129</v>
      </c>
      <c r="E267" s="3">
        <v>2</v>
      </c>
      <c r="F267" s="5">
        <v>233.34</v>
      </c>
      <c r="G267" s="3" t="str">
        <f>_xlfn.XLOOKUP(Sales_Table[[#This Row],[ProductID]],Products!A:A,Products!C:C,)</f>
        <v>Home</v>
      </c>
      <c r="H267" s="8">
        <f>VLOOKUP(D267,Products_Table[],4,FALSE)</f>
        <v>116.67</v>
      </c>
      <c r="I267" s="3" t="str">
        <f>VLOOKUP(C267,Customer_Table[],4,FALSE)</f>
        <v>United Kingdom</v>
      </c>
      <c r="J267" s="3" t="str">
        <f t="shared" si="4"/>
        <v>MATCH</v>
      </c>
    </row>
    <row r="268" spans="1:10" x14ac:dyDescent="0.25">
      <c r="A268" s="3" t="s">
        <v>419</v>
      </c>
      <c r="B268" s="4">
        <v>45305</v>
      </c>
      <c r="C268" s="3" t="s">
        <v>214</v>
      </c>
      <c r="D268" s="3" t="s">
        <v>81</v>
      </c>
      <c r="E268" s="3">
        <v>1</v>
      </c>
      <c r="F268" s="5">
        <v>433.28</v>
      </c>
      <c r="G268" s="3" t="str">
        <f>_xlfn.XLOOKUP(Sales_Table[[#This Row],[ProductID]],Products!A:A,Products!C:C,)</f>
        <v>Beauty</v>
      </c>
      <c r="H268" s="8">
        <f>VLOOKUP(D268,Products_Table[],4,FALSE)</f>
        <v>433.28</v>
      </c>
      <c r="I268" s="3" t="str">
        <f>VLOOKUP(C268,Customer_Table[],4,FALSE)</f>
        <v>United Kingdom</v>
      </c>
      <c r="J268" s="3" t="str">
        <f t="shared" si="4"/>
        <v>MATCH</v>
      </c>
    </row>
    <row r="269" spans="1:10" x14ac:dyDescent="0.25">
      <c r="A269" s="3" t="s">
        <v>420</v>
      </c>
      <c r="B269" s="4">
        <v>45366</v>
      </c>
      <c r="C269" s="3" t="s">
        <v>105</v>
      </c>
      <c r="D269" s="3" t="s">
        <v>129</v>
      </c>
      <c r="E269" s="3">
        <v>5</v>
      </c>
      <c r="F269" s="5">
        <v>583.35</v>
      </c>
      <c r="G269" s="3" t="str">
        <f>_xlfn.XLOOKUP(Sales_Table[[#This Row],[ProductID]],Products!A:A,Products!C:C,)</f>
        <v>Home</v>
      </c>
      <c r="H269" s="8">
        <f>VLOOKUP(D269,Products_Table[],4,FALSE)</f>
        <v>116.67</v>
      </c>
      <c r="I269" s="3" t="str">
        <f>VLOOKUP(C269,Customer_Table[],4,FALSE)</f>
        <v>United Kingdom</v>
      </c>
      <c r="J269" s="3" t="str">
        <f t="shared" si="4"/>
        <v>MATCH</v>
      </c>
    </row>
    <row r="270" spans="1:10" x14ac:dyDescent="0.25">
      <c r="A270" s="3" t="s">
        <v>421</v>
      </c>
      <c r="B270" s="4">
        <v>45455</v>
      </c>
      <c r="C270" s="3" t="s">
        <v>422</v>
      </c>
      <c r="D270" s="3" t="s">
        <v>260</v>
      </c>
      <c r="E270" s="3">
        <v>2</v>
      </c>
      <c r="F270" s="5">
        <v>391.4</v>
      </c>
      <c r="G270" s="3" t="str">
        <f>_xlfn.XLOOKUP(Sales_Table[[#This Row],[ProductID]],Products!A:A,Products!C:C,)</f>
        <v>Clothing</v>
      </c>
      <c r="H270" s="8">
        <f>VLOOKUP(D270,Products_Table[],4,FALSE)</f>
        <v>195.7</v>
      </c>
      <c r="I270" s="3" t="str">
        <f>VLOOKUP(C270,Customer_Table[],4,FALSE)</f>
        <v>India</v>
      </c>
      <c r="J270" s="3" t="str">
        <f t="shared" si="4"/>
        <v>MATCH</v>
      </c>
    </row>
    <row r="271" spans="1:10" x14ac:dyDescent="0.25">
      <c r="A271" s="3" t="s">
        <v>423</v>
      </c>
      <c r="B271" s="4">
        <v>45318</v>
      </c>
      <c r="C271" s="3" t="s">
        <v>16</v>
      </c>
      <c r="D271" s="3" t="s">
        <v>152</v>
      </c>
      <c r="E271" s="3">
        <v>4</v>
      </c>
      <c r="F271" s="5">
        <v>1363.4</v>
      </c>
      <c r="G271" s="3" t="str">
        <f>_xlfn.XLOOKUP(Sales_Table[[#This Row],[ProductID]],Products!A:A,Products!C:C,)</f>
        <v>Electronics</v>
      </c>
      <c r="H271" s="8">
        <f>VLOOKUP(D271,Products_Table[],4,FALSE)</f>
        <v>340.85</v>
      </c>
      <c r="I271" s="3" t="str">
        <f>VLOOKUP(C271,Customer_Table[],4,FALSE)</f>
        <v>Canada</v>
      </c>
      <c r="J271" s="3" t="str">
        <f t="shared" si="4"/>
        <v>MATCH</v>
      </c>
    </row>
    <row r="272" spans="1:10" x14ac:dyDescent="0.25">
      <c r="A272" s="3" t="s">
        <v>424</v>
      </c>
      <c r="B272" s="4">
        <v>45438</v>
      </c>
      <c r="C272" s="3" t="s">
        <v>37</v>
      </c>
      <c r="D272" s="3" t="s">
        <v>60</v>
      </c>
      <c r="E272" s="3">
        <v>1</v>
      </c>
      <c r="F272" s="5">
        <v>91.49</v>
      </c>
      <c r="G272" s="3" t="str">
        <f>_xlfn.XLOOKUP(Sales_Table[[#This Row],[ProductID]],Products!A:A,Products!C:C,)</f>
        <v>Clothing</v>
      </c>
      <c r="H272" s="8">
        <f>VLOOKUP(D272,Products_Table[],4,FALSE)</f>
        <v>91.49</v>
      </c>
      <c r="I272" s="3" t="str">
        <f>VLOOKUP(C272,Customer_Table[],4,FALSE)</f>
        <v>United States</v>
      </c>
      <c r="J272" s="3" t="str">
        <f t="shared" si="4"/>
        <v>MATCH</v>
      </c>
    </row>
    <row r="273" spans="1:10" x14ac:dyDescent="0.25">
      <c r="A273" s="3" t="s">
        <v>425</v>
      </c>
      <c r="B273" s="4">
        <v>45412</v>
      </c>
      <c r="C273" s="3" t="s">
        <v>235</v>
      </c>
      <c r="D273" s="3" t="s">
        <v>225</v>
      </c>
      <c r="E273" s="3">
        <v>3</v>
      </c>
      <c r="F273" s="5">
        <v>1391.76</v>
      </c>
      <c r="G273" s="3" t="str">
        <f>_xlfn.XLOOKUP(Sales_Table[[#This Row],[ProductID]],Products!A:A,Products!C:C,)</f>
        <v>Electronics</v>
      </c>
      <c r="H273" s="8">
        <f>VLOOKUP(D273,Products_Table[],4,FALSE)</f>
        <v>463.92</v>
      </c>
      <c r="I273" s="3" t="str">
        <f>VLOOKUP(C273,Customer_Table[],4,FALSE)</f>
        <v>United States</v>
      </c>
      <c r="J273" s="3" t="str">
        <f t="shared" si="4"/>
        <v>MATCH</v>
      </c>
    </row>
    <row r="274" spans="1:10" x14ac:dyDescent="0.25">
      <c r="A274" s="3" t="s">
        <v>426</v>
      </c>
      <c r="B274" s="4">
        <v>45404</v>
      </c>
      <c r="C274" s="3" t="s">
        <v>170</v>
      </c>
      <c r="D274" s="3" t="s">
        <v>114</v>
      </c>
      <c r="E274" s="3">
        <v>4</v>
      </c>
      <c r="F274" s="5">
        <v>908.52</v>
      </c>
      <c r="G274" s="3" t="str">
        <f>_xlfn.XLOOKUP(Sales_Table[[#This Row],[ProductID]],Products!A:A,Products!C:C,)</f>
        <v>Electronics</v>
      </c>
      <c r="H274" s="8">
        <f>VLOOKUP(D274,Products_Table[],4,FALSE)</f>
        <v>227.13</v>
      </c>
      <c r="I274" s="3" t="str">
        <f>VLOOKUP(C274,Customer_Table[],4,FALSE)</f>
        <v>United Kingdom</v>
      </c>
      <c r="J274" s="3" t="str">
        <f t="shared" si="4"/>
        <v>MATCH</v>
      </c>
    </row>
    <row r="275" spans="1:10" x14ac:dyDescent="0.25">
      <c r="A275" s="3" t="s">
        <v>427</v>
      </c>
      <c r="B275" s="4">
        <v>45339</v>
      </c>
      <c r="C275" s="3" t="s">
        <v>315</v>
      </c>
      <c r="D275" s="3" t="s">
        <v>129</v>
      </c>
      <c r="E275" s="3">
        <v>3</v>
      </c>
      <c r="F275" s="5">
        <v>350.01</v>
      </c>
      <c r="G275" s="3" t="str">
        <f>_xlfn.XLOOKUP(Sales_Table[[#This Row],[ProductID]],Products!A:A,Products!C:C,)</f>
        <v>Home</v>
      </c>
      <c r="H275" s="8">
        <f>VLOOKUP(D275,Products_Table[],4,FALSE)</f>
        <v>116.67</v>
      </c>
      <c r="I275" s="3" t="str">
        <f>VLOOKUP(C275,Customer_Table[],4,FALSE)</f>
        <v>United States</v>
      </c>
      <c r="J275" s="3" t="str">
        <f t="shared" si="4"/>
        <v>MATCH</v>
      </c>
    </row>
    <row r="276" spans="1:10" x14ac:dyDescent="0.25">
      <c r="A276" s="3" t="s">
        <v>428</v>
      </c>
      <c r="B276" s="4">
        <v>45356</v>
      </c>
      <c r="C276" s="3" t="s">
        <v>198</v>
      </c>
      <c r="D276" s="3" t="s">
        <v>44</v>
      </c>
      <c r="E276" s="3">
        <v>1</v>
      </c>
      <c r="F276" s="5">
        <v>272.77999999999997</v>
      </c>
      <c r="G276" s="3" t="str">
        <f>_xlfn.XLOOKUP(Sales_Table[[#This Row],[ProductID]],Products!A:A,Products!C:C,)</f>
        <v>Clothing</v>
      </c>
      <c r="H276" s="8">
        <f>VLOOKUP(D276,Products_Table[],4,FALSE)</f>
        <v>272.77999999999997</v>
      </c>
      <c r="I276" s="3" t="str">
        <f>VLOOKUP(C276,Customer_Table[],4,FALSE)</f>
        <v>United Kingdom</v>
      </c>
      <c r="J276" s="3" t="str">
        <f t="shared" si="4"/>
        <v>MATCH</v>
      </c>
    </row>
    <row r="277" spans="1:10" x14ac:dyDescent="0.25">
      <c r="A277" s="3" t="s">
        <v>429</v>
      </c>
      <c r="B277" s="4">
        <v>45321</v>
      </c>
      <c r="C277" s="3" t="s">
        <v>241</v>
      </c>
      <c r="D277" s="3" t="s">
        <v>17</v>
      </c>
      <c r="E277" s="3">
        <v>4</v>
      </c>
      <c r="F277" s="5">
        <v>1577.84</v>
      </c>
      <c r="G277" s="3" t="str">
        <f>_xlfn.XLOOKUP(Sales_Table[[#This Row],[ProductID]],Products!A:A,Products!C:C,)</f>
        <v>Clothing</v>
      </c>
      <c r="H277" s="8">
        <f>VLOOKUP(D277,Products_Table[],4,FALSE)</f>
        <v>394.46</v>
      </c>
      <c r="I277" s="3" t="str">
        <f>VLOOKUP(C277,Customer_Table[],4,FALSE)</f>
        <v>United States</v>
      </c>
      <c r="J277" s="3" t="str">
        <f t="shared" si="4"/>
        <v>MATCH</v>
      </c>
    </row>
    <row r="278" spans="1:10" x14ac:dyDescent="0.25">
      <c r="A278" s="3" t="s">
        <v>430</v>
      </c>
      <c r="B278" s="4">
        <v>45394</v>
      </c>
      <c r="C278" s="3" t="s">
        <v>431</v>
      </c>
      <c r="D278" s="3" t="s">
        <v>231</v>
      </c>
      <c r="E278" s="3">
        <v>1</v>
      </c>
      <c r="F278" s="5">
        <v>243.63</v>
      </c>
      <c r="G278" s="3" t="str">
        <f>_xlfn.XLOOKUP(Sales_Table[[#This Row],[ProductID]],Products!A:A,Products!C:C,)</f>
        <v>Sports</v>
      </c>
      <c r="H278" s="8">
        <f>VLOOKUP(D278,Products_Table[],4,FALSE)</f>
        <v>243.63</v>
      </c>
      <c r="I278" s="3" t="str">
        <f>VLOOKUP(C278,Customer_Table[],4,FALSE)</f>
        <v>United Kingdom</v>
      </c>
      <c r="J278" s="3" t="str">
        <f t="shared" si="4"/>
        <v>MATCH</v>
      </c>
    </row>
    <row r="279" spans="1:10" x14ac:dyDescent="0.25">
      <c r="A279" s="3" t="s">
        <v>432</v>
      </c>
      <c r="B279" s="4">
        <v>45310</v>
      </c>
      <c r="C279" s="3" t="s">
        <v>247</v>
      </c>
      <c r="D279" s="3" t="s">
        <v>68</v>
      </c>
      <c r="E279" s="3">
        <v>4</v>
      </c>
      <c r="F279" s="5">
        <v>1609.16</v>
      </c>
      <c r="G279" s="3" t="str">
        <f>_xlfn.XLOOKUP(Sales_Table[[#This Row],[ProductID]],Products!A:A,Products!C:C,)</f>
        <v>Home</v>
      </c>
      <c r="H279" s="8">
        <f>VLOOKUP(D279,Products_Table[],4,FALSE)</f>
        <v>402.29</v>
      </c>
      <c r="I279" s="3" t="str">
        <f>VLOOKUP(C279,Customer_Table[],4,FALSE)</f>
        <v>United States</v>
      </c>
      <c r="J279" s="3" t="str">
        <f t="shared" si="4"/>
        <v>MATCH</v>
      </c>
    </row>
    <row r="280" spans="1:10" x14ac:dyDescent="0.25">
      <c r="A280" s="3" t="s">
        <v>433</v>
      </c>
      <c r="B280" s="4">
        <v>45453</v>
      </c>
      <c r="C280" s="3" t="s">
        <v>16</v>
      </c>
      <c r="D280" s="3" t="s">
        <v>196</v>
      </c>
      <c r="E280" s="3">
        <v>5</v>
      </c>
      <c r="F280" s="5">
        <v>1229.3499999999999</v>
      </c>
      <c r="G280" s="3" t="str">
        <f>_xlfn.XLOOKUP(Sales_Table[[#This Row],[ProductID]],Products!A:A,Products!C:C,)</f>
        <v>Beauty</v>
      </c>
      <c r="H280" s="8">
        <f>VLOOKUP(D280,Products_Table[],4,FALSE)</f>
        <v>245.87</v>
      </c>
      <c r="I280" s="3" t="str">
        <f>VLOOKUP(C280,Customer_Table[],4,FALSE)</f>
        <v>Canada</v>
      </c>
      <c r="J280" s="3" t="str">
        <f t="shared" si="4"/>
        <v>MATCH</v>
      </c>
    </row>
    <row r="281" spans="1:10" x14ac:dyDescent="0.25">
      <c r="A281" s="3" t="s">
        <v>434</v>
      </c>
      <c r="B281" s="4">
        <v>45330</v>
      </c>
      <c r="C281" s="3" t="s">
        <v>170</v>
      </c>
      <c r="D281" s="3" t="s">
        <v>23</v>
      </c>
      <c r="E281" s="3">
        <v>1</v>
      </c>
      <c r="F281" s="5">
        <v>103.3</v>
      </c>
      <c r="G281" s="3" t="str">
        <f>_xlfn.XLOOKUP(Sales_Table[[#This Row],[ProductID]],Products!A:A,Products!C:C,)</f>
        <v>Beauty</v>
      </c>
      <c r="H281" s="8">
        <f>VLOOKUP(D281,Products_Table[],4,FALSE)</f>
        <v>103.3</v>
      </c>
      <c r="I281" s="3" t="str">
        <f>VLOOKUP(C281,Customer_Table[],4,FALSE)</f>
        <v>United Kingdom</v>
      </c>
      <c r="J281" s="3" t="str">
        <f t="shared" si="4"/>
        <v>MATCH</v>
      </c>
    </row>
    <row r="282" spans="1:10" x14ac:dyDescent="0.25">
      <c r="A282" s="3" t="s">
        <v>435</v>
      </c>
      <c r="B282" s="4">
        <v>45436</v>
      </c>
      <c r="C282" s="3" t="s">
        <v>436</v>
      </c>
      <c r="D282" s="3" t="s">
        <v>63</v>
      </c>
      <c r="E282" s="3">
        <v>2</v>
      </c>
      <c r="F282" s="5">
        <v>115.96</v>
      </c>
      <c r="G282" s="3" t="str">
        <f>_xlfn.XLOOKUP(Sales_Table[[#This Row],[ProductID]],Products!A:A,Products!C:C,)</f>
        <v>Sports</v>
      </c>
      <c r="H282" s="8">
        <f>VLOOKUP(D282,Products_Table[],4,FALSE)</f>
        <v>57.98</v>
      </c>
      <c r="I282" s="3" t="str">
        <f>VLOOKUP(C282,Customer_Table[],4,FALSE)</f>
        <v>United States</v>
      </c>
      <c r="J282" s="3" t="str">
        <f t="shared" si="4"/>
        <v>MATCH</v>
      </c>
    </row>
    <row r="283" spans="1:10" x14ac:dyDescent="0.25">
      <c r="A283" s="3" t="s">
        <v>437</v>
      </c>
      <c r="B283" s="4">
        <v>45313</v>
      </c>
      <c r="C283" s="3" t="s">
        <v>111</v>
      </c>
      <c r="D283" s="3" t="s">
        <v>63</v>
      </c>
      <c r="E283" s="3">
        <v>3</v>
      </c>
      <c r="F283" s="5">
        <v>173.94</v>
      </c>
      <c r="G283" s="3" t="str">
        <f>_xlfn.XLOOKUP(Sales_Table[[#This Row],[ProductID]],Products!A:A,Products!C:C,)</f>
        <v>Sports</v>
      </c>
      <c r="H283" s="8">
        <f>VLOOKUP(D283,Products_Table[],4,FALSE)</f>
        <v>57.98</v>
      </c>
      <c r="I283" s="3" t="str">
        <f>VLOOKUP(C283,Customer_Table[],4,FALSE)</f>
        <v>United Kingdom</v>
      </c>
      <c r="J283" s="3" t="str">
        <f t="shared" si="4"/>
        <v>MATCH</v>
      </c>
    </row>
    <row r="284" spans="1:10" x14ac:dyDescent="0.25">
      <c r="A284" s="3" t="s">
        <v>438</v>
      </c>
      <c r="B284" s="4">
        <v>45322</v>
      </c>
      <c r="C284" s="3" t="s">
        <v>439</v>
      </c>
      <c r="D284" s="3" t="s">
        <v>20</v>
      </c>
      <c r="E284" s="3">
        <v>2</v>
      </c>
      <c r="F284" s="5">
        <v>415.7</v>
      </c>
      <c r="G284" s="3" t="str">
        <f>_xlfn.XLOOKUP(Sales_Table[[#This Row],[ProductID]],Products!A:A,Products!C:C,)</f>
        <v>Clothing</v>
      </c>
      <c r="H284" s="8">
        <f>VLOOKUP(D284,Products_Table[],4,FALSE)</f>
        <v>207.85</v>
      </c>
      <c r="I284" s="3" t="str">
        <f>VLOOKUP(C284,Customer_Table[],4,FALSE)</f>
        <v>Canada</v>
      </c>
      <c r="J284" s="3" t="str">
        <f t="shared" si="4"/>
        <v>MATCH</v>
      </c>
    </row>
    <row r="285" spans="1:10" x14ac:dyDescent="0.25">
      <c r="A285" s="3" t="s">
        <v>440</v>
      </c>
      <c r="B285" s="4">
        <v>45398</v>
      </c>
      <c r="C285" s="3" t="s">
        <v>391</v>
      </c>
      <c r="D285" s="3" t="s">
        <v>231</v>
      </c>
      <c r="E285" s="3">
        <v>5</v>
      </c>
      <c r="F285" s="5">
        <v>1218.1500000000001</v>
      </c>
      <c r="G285" s="3" t="str">
        <f>_xlfn.XLOOKUP(Sales_Table[[#This Row],[ProductID]],Products!A:A,Products!C:C,)</f>
        <v>Sports</v>
      </c>
      <c r="H285" s="8">
        <f>VLOOKUP(D285,Products_Table[],4,FALSE)</f>
        <v>243.63</v>
      </c>
      <c r="I285" s="3" t="str">
        <f>VLOOKUP(C285,Customer_Table[],4,FALSE)</f>
        <v>United Kingdom</v>
      </c>
      <c r="J285" s="3" t="str">
        <f t="shared" si="4"/>
        <v>MATCH</v>
      </c>
    </row>
    <row r="286" spans="1:10" x14ac:dyDescent="0.25">
      <c r="A286" s="3" t="s">
        <v>441</v>
      </c>
      <c r="B286" s="4">
        <v>45444</v>
      </c>
      <c r="C286" s="3" t="s">
        <v>442</v>
      </c>
      <c r="D286" s="3" t="s">
        <v>152</v>
      </c>
      <c r="E286" s="3">
        <v>5</v>
      </c>
      <c r="F286" s="5">
        <v>1704.25</v>
      </c>
      <c r="G286" s="3" t="str">
        <f>_xlfn.XLOOKUP(Sales_Table[[#This Row],[ProductID]],Products!A:A,Products!C:C,)</f>
        <v>Electronics</v>
      </c>
      <c r="H286" s="8">
        <f>VLOOKUP(D286,Products_Table[],4,FALSE)</f>
        <v>340.85</v>
      </c>
      <c r="I286" s="3" t="str">
        <f>VLOOKUP(C286,Customer_Table[],4,FALSE)</f>
        <v>United Kingdom</v>
      </c>
      <c r="J286" s="3" t="str">
        <f t="shared" si="4"/>
        <v>MATCH</v>
      </c>
    </row>
    <row r="287" spans="1:10" x14ac:dyDescent="0.25">
      <c r="A287" s="3" t="s">
        <v>443</v>
      </c>
      <c r="B287" s="4">
        <v>45349</v>
      </c>
      <c r="C287" s="3" t="s">
        <v>95</v>
      </c>
      <c r="D287" s="3" t="s">
        <v>152</v>
      </c>
      <c r="E287" s="3">
        <v>5</v>
      </c>
      <c r="F287" s="5">
        <v>1704.25</v>
      </c>
      <c r="G287" s="3" t="str">
        <f>_xlfn.XLOOKUP(Sales_Table[[#This Row],[ProductID]],Products!A:A,Products!C:C,)</f>
        <v>Electronics</v>
      </c>
      <c r="H287" s="8">
        <f>VLOOKUP(D287,Products_Table[],4,FALSE)</f>
        <v>340.85</v>
      </c>
      <c r="I287" s="3" t="str">
        <f>VLOOKUP(C287,Customer_Table[],4,FALSE)</f>
        <v>United Kingdom</v>
      </c>
      <c r="J287" s="3" t="str">
        <f t="shared" si="4"/>
        <v>MATCH</v>
      </c>
    </row>
    <row r="288" spans="1:10" x14ac:dyDescent="0.25">
      <c r="A288" s="3" t="s">
        <v>444</v>
      </c>
      <c r="B288" s="4">
        <v>45389</v>
      </c>
      <c r="C288" s="3" t="s">
        <v>40</v>
      </c>
      <c r="D288" s="3" t="s">
        <v>165</v>
      </c>
      <c r="E288" s="3">
        <v>5</v>
      </c>
      <c r="F288" s="5">
        <v>1309.7</v>
      </c>
      <c r="G288" s="3" t="str">
        <f>_xlfn.XLOOKUP(Sales_Table[[#This Row],[ProductID]],Products!A:A,Products!C:C,)</f>
        <v>Electronics</v>
      </c>
      <c r="H288" s="8">
        <f>VLOOKUP(D288,Products_Table[],4,FALSE)</f>
        <v>261.94</v>
      </c>
      <c r="I288" s="3" t="str">
        <f>VLOOKUP(C288,Customer_Table[],4,FALSE)</f>
        <v>United Kingdom</v>
      </c>
      <c r="J288" s="3" t="str">
        <f t="shared" si="4"/>
        <v>MATCH</v>
      </c>
    </row>
    <row r="289" spans="1:10" x14ac:dyDescent="0.25">
      <c r="A289" s="3" t="s">
        <v>445</v>
      </c>
      <c r="B289" s="4">
        <v>45405</v>
      </c>
      <c r="C289" s="3" t="s">
        <v>51</v>
      </c>
      <c r="D289" s="3" t="s">
        <v>49</v>
      </c>
      <c r="E289" s="3">
        <v>4</v>
      </c>
      <c r="F289" s="5">
        <v>1175.2</v>
      </c>
      <c r="G289" s="3" t="str">
        <f>_xlfn.XLOOKUP(Sales_Table[[#This Row],[ProductID]],Products!A:A,Products!C:C,)</f>
        <v>Electronics</v>
      </c>
      <c r="H289" s="8">
        <f>VLOOKUP(D289,Products_Table[],4,FALSE)</f>
        <v>293.8</v>
      </c>
      <c r="I289" s="3" t="str">
        <f>VLOOKUP(C289,Customer_Table[],4,FALSE)</f>
        <v>United States</v>
      </c>
      <c r="J289" s="3" t="str">
        <f t="shared" si="4"/>
        <v>MATCH</v>
      </c>
    </row>
    <row r="290" spans="1:10" x14ac:dyDescent="0.25">
      <c r="A290" s="3" t="s">
        <v>446</v>
      </c>
      <c r="B290" s="4">
        <v>45442</v>
      </c>
      <c r="C290" s="3" t="s">
        <v>37</v>
      </c>
      <c r="D290" s="3" t="s">
        <v>38</v>
      </c>
      <c r="E290" s="3">
        <v>3</v>
      </c>
      <c r="F290" s="5">
        <v>1002.96</v>
      </c>
      <c r="G290" s="3" t="str">
        <f>_xlfn.XLOOKUP(Sales_Table[[#This Row],[ProductID]],Products!A:A,Products!C:C,)</f>
        <v>Sports</v>
      </c>
      <c r="H290" s="8">
        <f>VLOOKUP(D290,Products_Table[],4,FALSE)</f>
        <v>334.32</v>
      </c>
      <c r="I290" s="3" t="str">
        <f>VLOOKUP(C290,Customer_Table[],4,FALSE)</f>
        <v>United States</v>
      </c>
      <c r="J290" s="3" t="str">
        <f t="shared" si="4"/>
        <v>MATCH</v>
      </c>
    </row>
    <row r="291" spans="1:10" x14ac:dyDescent="0.25">
      <c r="A291" s="3" t="s">
        <v>447</v>
      </c>
      <c r="B291" s="4">
        <v>45370</v>
      </c>
      <c r="C291" s="3" t="s">
        <v>243</v>
      </c>
      <c r="D291" s="3" t="s">
        <v>68</v>
      </c>
      <c r="E291" s="3">
        <v>4</v>
      </c>
      <c r="F291" s="5">
        <v>1609.16</v>
      </c>
      <c r="G291" s="3" t="str">
        <f>_xlfn.XLOOKUP(Sales_Table[[#This Row],[ProductID]],Products!A:A,Products!C:C,)</f>
        <v>Home</v>
      </c>
      <c r="H291" s="8">
        <f>VLOOKUP(D291,Products_Table[],4,FALSE)</f>
        <v>402.29</v>
      </c>
      <c r="I291" s="3" t="str">
        <f>VLOOKUP(C291,Customer_Table[],4,FALSE)</f>
        <v>India</v>
      </c>
      <c r="J291" s="3" t="str">
        <f t="shared" si="4"/>
        <v>MATCH</v>
      </c>
    </row>
    <row r="292" spans="1:10" x14ac:dyDescent="0.25">
      <c r="A292" s="3" t="s">
        <v>448</v>
      </c>
      <c r="B292" s="4">
        <v>45450</v>
      </c>
      <c r="C292" s="3" t="s">
        <v>188</v>
      </c>
      <c r="D292" s="3" t="s">
        <v>124</v>
      </c>
      <c r="E292" s="3">
        <v>5</v>
      </c>
      <c r="F292" s="5">
        <v>198.5</v>
      </c>
      <c r="G292" s="3" t="str">
        <f>_xlfn.XLOOKUP(Sales_Table[[#This Row],[ProductID]],Products!A:A,Products!C:C,)</f>
        <v>Electronics</v>
      </c>
      <c r="H292" s="8">
        <f>VLOOKUP(D292,Products_Table[],4,FALSE)</f>
        <v>39.700000000000003</v>
      </c>
      <c r="I292" s="3" t="str">
        <f>VLOOKUP(C292,Customer_Table[],4,FALSE)</f>
        <v>United Kingdom</v>
      </c>
      <c r="J292" s="3" t="str">
        <f t="shared" si="4"/>
        <v>MATCH</v>
      </c>
    </row>
    <row r="293" spans="1:10" x14ac:dyDescent="0.25">
      <c r="A293" s="3" t="s">
        <v>449</v>
      </c>
      <c r="B293" s="4">
        <v>45448</v>
      </c>
      <c r="C293" s="3" t="s">
        <v>176</v>
      </c>
      <c r="D293" s="3" t="s">
        <v>148</v>
      </c>
      <c r="E293" s="3">
        <v>1</v>
      </c>
      <c r="F293" s="5">
        <v>339.95</v>
      </c>
      <c r="G293" s="3" t="str">
        <f>_xlfn.XLOOKUP(Sales_Table[[#This Row],[ProductID]],Products!A:A,Products!C:C,)</f>
        <v>Electronics</v>
      </c>
      <c r="H293" s="8">
        <f>VLOOKUP(D293,Products_Table[],4,FALSE)</f>
        <v>339.95</v>
      </c>
      <c r="I293" s="3" t="str">
        <f>VLOOKUP(C293,Customer_Table[],4,FALSE)</f>
        <v>United Kingdom</v>
      </c>
      <c r="J293" s="3" t="str">
        <f t="shared" si="4"/>
        <v>MATCH</v>
      </c>
    </row>
    <row r="294" spans="1:10" x14ac:dyDescent="0.25">
      <c r="A294" s="3" t="s">
        <v>450</v>
      </c>
      <c r="B294" s="4">
        <v>45345</v>
      </c>
      <c r="C294" s="3" t="s">
        <v>451</v>
      </c>
      <c r="D294" s="3" t="s">
        <v>28</v>
      </c>
      <c r="E294" s="3">
        <v>1</v>
      </c>
      <c r="F294" s="5">
        <v>452.2</v>
      </c>
      <c r="G294" s="3" t="str">
        <f>_xlfn.XLOOKUP(Sales_Table[[#This Row],[ProductID]],Products!A:A,Products!C:C,)</f>
        <v>Beauty</v>
      </c>
      <c r="H294" s="8">
        <f>VLOOKUP(D294,Products_Table[],4,FALSE)</f>
        <v>452.2</v>
      </c>
      <c r="I294" s="3" t="str">
        <f>VLOOKUP(C294,Customer_Table[],4,FALSE)</f>
        <v>United Kingdom</v>
      </c>
      <c r="J294" s="3" t="str">
        <f t="shared" si="4"/>
        <v>MATCH</v>
      </c>
    </row>
    <row r="295" spans="1:10" x14ac:dyDescent="0.25">
      <c r="A295" s="3" t="s">
        <v>452</v>
      </c>
      <c r="B295" s="4">
        <v>45359</v>
      </c>
      <c r="C295" s="3" t="s">
        <v>307</v>
      </c>
      <c r="D295" s="3" t="s">
        <v>11</v>
      </c>
      <c r="E295" s="3">
        <v>2</v>
      </c>
      <c r="F295" s="5">
        <v>79.739999999999995</v>
      </c>
      <c r="G295" s="3" t="str">
        <f>_xlfn.XLOOKUP(Sales_Table[[#This Row],[ProductID]],Products!A:A,Products!C:C,)</f>
        <v>Sports</v>
      </c>
      <c r="H295" s="8">
        <f>VLOOKUP(D295,Products_Table[],4,FALSE)</f>
        <v>39.869999999999997</v>
      </c>
      <c r="I295" s="3" t="str">
        <f>VLOOKUP(C295,Customer_Table[],4,FALSE)</f>
        <v>Canada</v>
      </c>
      <c r="J295" s="3" t="str">
        <f t="shared" si="4"/>
        <v>MATCH</v>
      </c>
    </row>
    <row r="296" spans="1:10" x14ac:dyDescent="0.25">
      <c r="A296" s="3" t="s">
        <v>453</v>
      </c>
      <c r="B296" s="4">
        <v>45332</v>
      </c>
      <c r="C296" s="3" t="s">
        <v>78</v>
      </c>
      <c r="D296" s="3" t="s">
        <v>146</v>
      </c>
      <c r="E296" s="3">
        <v>1</v>
      </c>
      <c r="F296" s="5">
        <v>332.9</v>
      </c>
      <c r="G296" s="3" t="str">
        <f>_xlfn.XLOOKUP(Sales_Table[[#This Row],[ProductID]],Products!A:A,Products!C:C,)</f>
        <v>Electronics</v>
      </c>
      <c r="H296" s="8">
        <f>VLOOKUP(D296,Products_Table[],4,FALSE)</f>
        <v>332.9</v>
      </c>
      <c r="I296" s="3" t="str">
        <f>VLOOKUP(C296,Customer_Table[],4,FALSE)</f>
        <v>United States</v>
      </c>
      <c r="J296" s="3" t="str">
        <f t="shared" si="4"/>
        <v>MATCH</v>
      </c>
    </row>
    <row r="297" spans="1:10" x14ac:dyDescent="0.25">
      <c r="A297" s="3" t="s">
        <v>454</v>
      </c>
      <c r="B297" s="4">
        <v>45336</v>
      </c>
      <c r="C297" s="3" t="s">
        <v>235</v>
      </c>
      <c r="D297" s="3" t="s">
        <v>160</v>
      </c>
      <c r="E297" s="3">
        <v>2</v>
      </c>
      <c r="F297" s="5">
        <v>87.16</v>
      </c>
      <c r="G297" s="3" t="str">
        <f>_xlfn.XLOOKUP(Sales_Table[[#This Row],[ProductID]],Products!A:A,Products!C:C,)</f>
        <v>Clothing</v>
      </c>
      <c r="H297" s="8">
        <f>VLOOKUP(D297,Products_Table[],4,FALSE)</f>
        <v>43.58</v>
      </c>
      <c r="I297" s="3" t="str">
        <f>VLOOKUP(C297,Customer_Table[],4,FALSE)</f>
        <v>United States</v>
      </c>
      <c r="J297" s="3" t="str">
        <f t="shared" si="4"/>
        <v>MATCH</v>
      </c>
    </row>
    <row r="298" spans="1:10" x14ac:dyDescent="0.25">
      <c r="A298" s="3" t="s">
        <v>455</v>
      </c>
      <c r="B298" s="4">
        <v>45311</v>
      </c>
      <c r="C298" s="3" t="s">
        <v>323</v>
      </c>
      <c r="D298" s="3" t="s">
        <v>49</v>
      </c>
      <c r="E298" s="3">
        <v>5</v>
      </c>
      <c r="F298" s="5">
        <v>1469</v>
      </c>
      <c r="G298" s="3" t="str">
        <f>_xlfn.XLOOKUP(Sales_Table[[#This Row],[ProductID]],Products!A:A,Products!C:C,)</f>
        <v>Electronics</v>
      </c>
      <c r="H298" s="8">
        <f>VLOOKUP(D298,Products_Table[],4,FALSE)</f>
        <v>293.8</v>
      </c>
      <c r="I298" s="3" t="str">
        <f>VLOOKUP(C298,Customer_Table[],4,FALSE)</f>
        <v>United States</v>
      </c>
      <c r="J298" s="3" t="str">
        <f t="shared" si="4"/>
        <v>MATCH</v>
      </c>
    </row>
    <row r="299" spans="1:10" x14ac:dyDescent="0.25">
      <c r="A299" s="3" t="s">
        <v>456</v>
      </c>
      <c r="B299" s="4">
        <v>45292</v>
      </c>
      <c r="C299" s="3" t="s">
        <v>211</v>
      </c>
      <c r="D299" s="3" t="s">
        <v>28</v>
      </c>
      <c r="E299" s="3">
        <v>2</v>
      </c>
      <c r="F299" s="5">
        <v>904.4</v>
      </c>
      <c r="G299" s="3" t="str">
        <f>_xlfn.XLOOKUP(Sales_Table[[#This Row],[ProductID]],Products!A:A,Products!C:C,)</f>
        <v>Beauty</v>
      </c>
      <c r="H299" s="8">
        <f>VLOOKUP(D299,Products_Table[],4,FALSE)</f>
        <v>452.2</v>
      </c>
      <c r="I299" s="3" t="str">
        <f>VLOOKUP(C299,Customer_Table[],4,FALSE)</f>
        <v>United States</v>
      </c>
      <c r="J299" s="3" t="str">
        <f t="shared" si="4"/>
        <v>MATCH</v>
      </c>
    </row>
    <row r="300" spans="1:10" x14ac:dyDescent="0.25">
      <c r="A300" s="3" t="s">
        <v>457</v>
      </c>
      <c r="B300" s="4">
        <v>45407</v>
      </c>
      <c r="C300" s="3" t="s">
        <v>135</v>
      </c>
      <c r="D300" s="3" t="s">
        <v>103</v>
      </c>
      <c r="E300" s="3">
        <v>4</v>
      </c>
      <c r="F300" s="5">
        <v>559.79999999999995</v>
      </c>
      <c r="G300" s="3" t="str">
        <f>_xlfn.XLOOKUP(Sales_Table[[#This Row],[ProductID]],Products!A:A,Products!C:C,)</f>
        <v>Beauty</v>
      </c>
      <c r="H300" s="8">
        <f>VLOOKUP(D300,Products_Table[],4,FALSE)</f>
        <v>139.94999999999999</v>
      </c>
      <c r="I300" s="3" t="str">
        <f>VLOOKUP(C300,Customer_Table[],4,FALSE)</f>
        <v>India</v>
      </c>
      <c r="J300" s="3" t="str">
        <f t="shared" si="4"/>
        <v>MATCH</v>
      </c>
    </row>
    <row r="301" spans="1:10" x14ac:dyDescent="0.25">
      <c r="A301" s="3" t="s">
        <v>458</v>
      </c>
      <c r="B301" s="4">
        <v>45412</v>
      </c>
      <c r="C301" s="3" t="s">
        <v>48</v>
      </c>
      <c r="D301" s="3" t="s">
        <v>14</v>
      </c>
      <c r="E301" s="3">
        <v>5</v>
      </c>
      <c r="F301" s="5">
        <v>1183.45</v>
      </c>
      <c r="G301" s="3" t="str">
        <f>_xlfn.XLOOKUP(Sales_Table[[#This Row],[ProductID]],Products!A:A,Products!C:C,)</f>
        <v>Home</v>
      </c>
      <c r="H301" s="8">
        <f>VLOOKUP(D301,Products_Table[],4,FALSE)</f>
        <v>236.69</v>
      </c>
      <c r="I301" s="3" t="str">
        <f>VLOOKUP(C301,Customer_Table[],4,FALSE)</f>
        <v>Canada</v>
      </c>
      <c r="J301" s="3" t="str">
        <f t="shared" si="4"/>
        <v>MATCH</v>
      </c>
    </row>
    <row r="302" spans="1:10" x14ac:dyDescent="0.25">
      <c r="A302" s="3" t="s">
        <v>459</v>
      </c>
      <c r="B302" s="4">
        <v>45300</v>
      </c>
      <c r="C302" s="3" t="s">
        <v>16</v>
      </c>
      <c r="D302" s="3" t="s">
        <v>35</v>
      </c>
      <c r="E302" s="3">
        <v>3</v>
      </c>
      <c r="F302" s="5">
        <v>877.02</v>
      </c>
      <c r="G302" s="3" t="str">
        <f>_xlfn.XLOOKUP(Sales_Table[[#This Row],[ProductID]],Products!A:A,Products!C:C,)</f>
        <v>Sports</v>
      </c>
      <c r="H302" s="8">
        <f>VLOOKUP(D302,Products_Table[],4,FALSE)</f>
        <v>292.33999999999997</v>
      </c>
      <c r="I302" s="3" t="str">
        <f>VLOOKUP(C302,Customer_Table[],4,FALSE)</f>
        <v>Canada</v>
      </c>
      <c r="J302" s="3" t="str">
        <f t="shared" si="4"/>
        <v>MATCH</v>
      </c>
    </row>
    <row r="303" spans="1:10" x14ac:dyDescent="0.25">
      <c r="A303" s="3" t="s">
        <v>460</v>
      </c>
      <c r="B303" s="4">
        <v>45365</v>
      </c>
      <c r="C303" s="3" t="s">
        <v>229</v>
      </c>
      <c r="D303" s="3" t="s">
        <v>225</v>
      </c>
      <c r="E303" s="3">
        <v>2</v>
      </c>
      <c r="F303" s="5">
        <v>927.84</v>
      </c>
      <c r="G303" s="3" t="str">
        <f>_xlfn.XLOOKUP(Sales_Table[[#This Row],[ProductID]],Products!A:A,Products!C:C,)</f>
        <v>Electronics</v>
      </c>
      <c r="H303" s="8">
        <f>VLOOKUP(D303,Products_Table[],4,FALSE)</f>
        <v>463.92</v>
      </c>
      <c r="I303" s="3" t="str">
        <f>VLOOKUP(C303,Customer_Table[],4,FALSE)</f>
        <v>United Kingdom</v>
      </c>
      <c r="J303" s="3" t="str">
        <f t="shared" si="4"/>
        <v>MATCH</v>
      </c>
    </row>
    <row r="304" spans="1:10" x14ac:dyDescent="0.25">
      <c r="A304" s="3" t="s">
        <v>461</v>
      </c>
      <c r="B304" s="4">
        <v>45471</v>
      </c>
      <c r="C304" s="3" t="s">
        <v>62</v>
      </c>
      <c r="D304" s="3" t="s">
        <v>146</v>
      </c>
      <c r="E304" s="3">
        <v>3</v>
      </c>
      <c r="F304" s="5">
        <v>998.7</v>
      </c>
      <c r="G304" s="3" t="str">
        <f>_xlfn.XLOOKUP(Sales_Table[[#This Row],[ProductID]],Products!A:A,Products!C:C,)</f>
        <v>Electronics</v>
      </c>
      <c r="H304" s="8">
        <f>VLOOKUP(D304,Products_Table[],4,FALSE)</f>
        <v>332.9</v>
      </c>
      <c r="I304" s="3" t="str">
        <f>VLOOKUP(C304,Customer_Table[],4,FALSE)</f>
        <v>Canada</v>
      </c>
      <c r="J304" s="3" t="str">
        <f t="shared" si="4"/>
        <v>MATCH</v>
      </c>
    </row>
    <row r="305" spans="1:10" x14ac:dyDescent="0.25">
      <c r="A305" s="3" t="s">
        <v>462</v>
      </c>
      <c r="B305" s="4">
        <v>45310</v>
      </c>
      <c r="C305" s="3" t="s">
        <v>198</v>
      </c>
      <c r="D305" s="3" t="s">
        <v>114</v>
      </c>
      <c r="E305" s="3">
        <v>4</v>
      </c>
      <c r="F305" s="5">
        <v>908.52</v>
      </c>
      <c r="G305" s="3" t="str">
        <f>_xlfn.XLOOKUP(Sales_Table[[#This Row],[ProductID]],Products!A:A,Products!C:C,)</f>
        <v>Electronics</v>
      </c>
      <c r="H305" s="8">
        <f>VLOOKUP(D305,Products_Table[],4,FALSE)</f>
        <v>227.13</v>
      </c>
      <c r="I305" s="3" t="str">
        <f>VLOOKUP(C305,Customer_Table[],4,FALSE)</f>
        <v>United Kingdom</v>
      </c>
      <c r="J305" s="3" t="str">
        <f t="shared" si="4"/>
        <v>MATCH</v>
      </c>
    </row>
    <row r="306" spans="1:10" x14ac:dyDescent="0.25">
      <c r="A306" s="3" t="s">
        <v>463</v>
      </c>
      <c r="B306" s="4">
        <v>45359</v>
      </c>
      <c r="C306" s="3" t="s">
        <v>396</v>
      </c>
      <c r="D306" s="3" t="s">
        <v>26</v>
      </c>
      <c r="E306" s="3">
        <v>2</v>
      </c>
      <c r="F306" s="5">
        <v>299.54000000000002</v>
      </c>
      <c r="G306" s="3" t="str">
        <f>_xlfn.XLOOKUP(Sales_Table[[#This Row],[ProductID]],Products!A:A,Products!C:C,)</f>
        <v>Beauty</v>
      </c>
      <c r="H306" s="8">
        <f>VLOOKUP(D306,Products_Table[],4,FALSE)</f>
        <v>149.77000000000001</v>
      </c>
      <c r="I306" s="3" t="str">
        <f>VLOOKUP(C306,Customer_Table[],4,FALSE)</f>
        <v>United States</v>
      </c>
      <c r="J306" s="3" t="str">
        <f t="shared" si="4"/>
        <v>MATCH</v>
      </c>
    </row>
    <row r="307" spans="1:10" x14ac:dyDescent="0.25">
      <c r="A307" s="3" t="s">
        <v>464</v>
      </c>
      <c r="B307" s="4">
        <v>45461</v>
      </c>
      <c r="C307" s="3" t="s">
        <v>442</v>
      </c>
      <c r="D307" s="3" t="s">
        <v>60</v>
      </c>
      <c r="E307" s="3">
        <v>5</v>
      </c>
      <c r="F307" s="5">
        <v>457.45</v>
      </c>
      <c r="G307" s="3" t="str">
        <f>_xlfn.XLOOKUP(Sales_Table[[#This Row],[ProductID]],Products!A:A,Products!C:C,)</f>
        <v>Clothing</v>
      </c>
      <c r="H307" s="8">
        <f>VLOOKUP(D307,Products_Table[],4,FALSE)</f>
        <v>91.49</v>
      </c>
      <c r="I307" s="3" t="str">
        <f>VLOOKUP(C307,Customer_Table[],4,FALSE)</f>
        <v>United Kingdom</v>
      </c>
      <c r="J307" s="3" t="str">
        <f t="shared" si="4"/>
        <v>MATCH</v>
      </c>
    </row>
    <row r="308" spans="1:10" x14ac:dyDescent="0.25">
      <c r="A308" s="3" t="s">
        <v>465</v>
      </c>
      <c r="B308" s="4">
        <v>45400</v>
      </c>
      <c r="C308" s="3" t="s">
        <v>150</v>
      </c>
      <c r="D308" s="3" t="s">
        <v>148</v>
      </c>
      <c r="E308" s="3">
        <v>2</v>
      </c>
      <c r="F308" s="5">
        <v>679.9</v>
      </c>
      <c r="G308" s="3" t="str">
        <f>_xlfn.XLOOKUP(Sales_Table[[#This Row],[ProductID]],Products!A:A,Products!C:C,)</f>
        <v>Electronics</v>
      </c>
      <c r="H308" s="8">
        <f>VLOOKUP(D308,Products_Table[],4,FALSE)</f>
        <v>339.95</v>
      </c>
      <c r="I308" s="3" t="str">
        <f>VLOOKUP(C308,Customer_Table[],4,FALSE)</f>
        <v>United Kingdom</v>
      </c>
      <c r="J308" s="3" t="str">
        <f t="shared" si="4"/>
        <v>MATCH</v>
      </c>
    </row>
    <row r="309" spans="1:10" x14ac:dyDescent="0.25">
      <c r="A309" s="3" t="s">
        <v>466</v>
      </c>
      <c r="B309" s="4">
        <v>45431</v>
      </c>
      <c r="C309" s="3" t="s">
        <v>467</v>
      </c>
      <c r="D309" s="3" t="s">
        <v>225</v>
      </c>
      <c r="E309" s="3">
        <v>1</v>
      </c>
      <c r="F309" s="5">
        <v>463.92</v>
      </c>
      <c r="G309" s="3" t="str">
        <f>_xlfn.XLOOKUP(Sales_Table[[#This Row],[ProductID]],Products!A:A,Products!C:C,)</f>
        <v>Electronics</v>
      </c>
      <c r="H309" s="8">
        <f>VLOOKUP(D309,Products_Table[],4,FALSE)</f>
        <v>463.92</v>
      </c>
      <c r="I309" s="3" t="str">
        <f>VLOOKUP(C309,Customer_Table[],4,FALSE)</f>
        <v>India</v>
      </c>
      <c r="J309" s="3" t="str">
        <f t="shared" si="4"/>
        <v>MATCH</v>
      </c>
    </row>
    <row r="310" spans="1:10" x14ac:dyDescent="0.25">
      <c r="A310" s="3" t="s">
        <v>468</v>
      </c>
      <c r="B310" s="4">
        <v>45457</v>
      </c>
      <c r="C310" s="3" t="s">
        <v>67</v>
      </c>
      <c r="D310" s="3" t="s">
        <v>114</v>
      </c>
      <c r="E310" s="3">
        <v>2</v>
      </c>
      <c r="F310" s="5">
        <v>454.26</v>
      </c>
      <c r="G310" s="3" t="str">
        <f>_xlfn.XLOOKUP(Sales_Table[[#This Row],[ProductID]],Products!A:A,Products!C:C,)</f>
        <v>Electronics</v>
      </c>
      <c r="H310" s="8">
        <f>VLOOKUP(D310,Products_Table[],4,FALSE)</f>
        <v>227.13</v>
      </c>
      <c r="I310" s="3" t="str">
        <f>VLOOKUP(C310,Customer_Table[],4,FALSE)</f>
        <v>Canada</v>
      </c>
      <c r="J310" s="3" t="str">
        <f t="shared" si="4"/>
        <v>MATCH</v>
      </c>
    </row>
    <row r="311" spans="1:10" x14ac:dyDescent="0.25">
      <c r="A311" s="3" t="s">
        <v>469</v>
      </c>
      <c r="B311" s="4">
        <v>45360</v>
      </c>
      <c r="C311" s="3" t="s">
        <v>62</v>
      </c>
      <c r="D311" s="3" t="s">
        <v>72</v>
      </c>
      <c r="E311" s="3">
        <v>2</v>
      </c>
      <c r="F311" s="5">
        <v>433.44</v>
      </c>
      <c r="G311" s="3" t="str">
        <f>_xlfn.XLOOKUP(Sales_Table[[#This Row],[ProductID]],Products!A:A,Products!C:C,)</f>
        <v>Clothing</v>
      </c>
      <c r="H311" s="8">
        <f>VLOOKUP(D311,Products_Table[],4,FALSE)</f>
        <v>216.72</v>
      </c>
      <c r="I311" s="3" t="str">
        <f>VLOOKUP(C311,Customer_Table[],4,FALSE)</f>
        <v>Canada</v>
      </c>
      <c r="J311" s="3" t="str">
        <f t="shared" si="4"/>
        <v>MATCH</v>
      </c>
    </row>
    <row r="312" spans="1:10" x14ac:dyDescent="0.25">
      <c r="A312" s="3" t="s">
        <v>470</v>
      </c>
      <c r="B312" s="4">
        <v>45310</v>
      </c>
      <c r="C312" s="3" t="s">
        <v>209</v>
      </c>
      <c r="D312" s="3" t="s">
        <v>114</v>
      </c>
      <c r="E312" s="3">
        <v>2</v>
      </c>
      <c r="F312" s="5">
        <v>454.26</v>
      </c>
      <c r="G312" s="3" t="str">
        <f>_xlfn.XLOOKUP(Sales_Table[[#This Row],[ProductID]],Products!A:A,Products!C:C,)</f>
        <v>Electronics</v>
      </c>
      <c r="H312" s="8">
        <f>VLOOKUP(D312,Products_Table[],4,FALSE)</f>
        <v>227.13</v>
      </c>
      <c r="I312" s="3" t="str">
        <f>VLOOKUP(C312,Customer_Table[],4,FALSE)</f>
        <v>India</v>
      </c>
      <c r="J312" s="3" t="str">
        <f t="shared" si="4"/>
        <v>MATCH</v>
      </c>
    </row>
    <row r="313" spans="1:10" x14ac:dyDescent="0.25">
      <c r="A313" s="3" t="s">
        <v>471</v>
      </c>
      <c r="B313" s="4">
        <v>45334</v>
      </c>
      <c r="C313" s="3" t="s">
        <v>396</v>
      </c>
      <c r="D313" s="3" t="s">
        <v>60</v>
      </c>
      <c r="E313" s="3">
        <v>1</v>
      </c>
      <c r="F313" s="5">
        <v>91.49</v>
      </c>
      <c r="G313" s="3" t="str">
        <f>_xlfn.XLOOKUP(Sales_Table[[#This Row],[ProductID]],Products!A:A,Products!C:C,)</f>
        <v>Clothing</v>
      </c>
      <c r="H313" s="8">
        <f>VLOOKUP(D313,Products_Table[],4,FALSE)</f>
        <v>91.49</v>
      </c>
      <c r="I313" s="3" t="str">
        <f>VLOOKUP(C313,Customer_Table[],4,FALSE)</f>
        <v>United States</v>
      </c>
      <c r="J313" s="3" t="str">
        <f t="shared" si="4"/>
        <v>MATCH</v>
      </c>
    </row>
    <row r="314" spans="1:10" x14ac:dyDescent="0.25">
      <c r="A314" s="3" t="s">
        <v>472</v>
      </c>
      <c r="B314" s="4">
        <v>45444</v>
      </c>
      <c r="C314" s="3" t="s">
        <v>247</v>
      </c>
      <c r="D314" s="3" t="s">
        <v>160</v>
      </c>
      <c r="E314" s="3">
        <v>3</v>
      </c>
      <c r="F314" s="5">
        <v>130.74</v>
      </c>
      <c r="G314" s="3" t="str">
        <f>_xlfn.XLOOKUP(Sales_Table[[#This Row],[ProductID]],Products!A:A,Products!C:C,)</f>
        <v>Clothing</v>
      </c>
      <c r="H314" s="8">
        <f>VLOOKUP(D314,Products_Table[],4,FALSE)</f>
        <v>43.58</v>
      </c>
      <c r="I314" s="3" t="str">
        <f>VLOOKUP(C314,Customer_Table[],4,FALSE)</f>
        <v>United States</v>
      </c>
      <c r="J314" s="3" t="str">
        <f t="shared" si="4"/>
        <v>MATCH</v>
      </c>
    </row>
    <row r="315" spans="1:10" x14ac:dyDescent="0.25">
      <c r="A315" s="3" t="s">
        <v>473</v>
      </c>
      <c r="B315" s="4">
        <v>45365</v>
      </c>
      <c r="C315" s="3" t="s">
        <v>126</v>
      </c>
      <c r="D315" s="3" t="s">
        <v>132</v>
      </c>
      <c r="E315" s="3">
        <v>5</v>
      </c>
      <c r="F315" s="5">
        <v>1689</v>
      </c>
      <c r="G315" s="3" t="str">
        <f>_xlfn.XLOOKUP(Sales_Table[[#This Row],[ProductID]],Products!A:A,Products!C:C,)</f>
        <v>Home</v>
      </c>
      <c r="H315" s="8">
        <f>VLOOKUP(D315,Products_Table[],4,FALSE)</f>
        <v>337.8</v>
      </c>
      <c r="I315" s="3" t="str">
        <f>VLOOKUP(C315,Customer_Table[],4,FALSE)</f>
        <v>India</v>
      </c>
      <c r="J315" s="3" t="str">
        <f t="shared" si="4"/>
        <v>MATCH</v>
      </c>
    </row>
    <row r="316" spans="1:10" x14ac:dyDescent="0.25">
      <c r="A316" s="3" t="s">
        <v>474</v>
      </c>
      <c r="B316" s="4">
        <v>45323</v>
      </c>
      <c r="C316" s="3" t="s">
        <v>40</v>
      </c>
      <c r="D316" s="3" t="s">
        <v>8</v>
      </c>
      <c r="E316" s="3">
        <v>4</v>
      </c>
      <c r="F316" s="5">
        <v>1678.6</v>
      </c>
      <c r="G316" s="3" t="str">
        <f>_xlfn.XLOOKUP(Sales_Table[[#This Row],[ProductID]],Products!A:A,Products!C:C,)</f>
        <v>Sports</v>
      </c>
      <c r="H316" s="8">
        <f>VLOOKUP(D316,Products_Table[],4,FALSE)</f>
        <v>419.65</v>
      </c>
      <c r="I316" s="3" t="str">
        <f>VLOOKUP(C316,Customer_Table[],4,FALSE)</f>
        <v>United Kingdom</v>
      </c>
      <c r="J316" s="3" t="str">
        <f t="shared" si="4"/>
        <v>MATCH</v>
      </c>
    </row>
    <row r="317" spans="1:10" x14ac:dyDescent="0.25">
      <c r="A317" s="3" t="s">
        <v>475</v>
      </c>
      <c r="B317" s="4">
        <v>45468</v>
      </c>
      <c r="C317" s="3" t="s">
        <v>37</v>
      </c>
      <c r="D317" s="3" t="s">
        <v>41</v>
      </c>
      <c r="E317" s="3">
        <v>4</v>
      </c>
      <c r="F317" s="5">
        <v>152.04</v>
      </c>
      <c r="G317" s="3" t="str">
        <f>_xlfn.XLOOKUP(Sales_Table[[#This Row],[ProductID]],Products!A:A,Products!C:C,)</f>
        <v>Home</v>
      </c>
      <c r="H317" s="8">
        <f>VLOOKUP(D317,Products_Table[],4,FALSE)</f>
        <v>38.01</v>
      </c>
      <c r="I317" s="3" t="str">
        <f>VLOOKUP(C317,Customer_Table[],4,FALSE)</f>
        <v>United States</v>
      </c>
      <c r="J317" s="3" t="str">
        <f t="shared" si="4"/>
        <v>MATCH</v>
      </c>
    </row>
    <row r="318" spans="1:10" x14ac:dyDescent="0.25">
      <c r="A318" s="3" t="s">
        <v>476</v>
      </c>
      <c r="B318" s="4">
        <v>45471</v>
      </c>
      <c r="C318" s="3" t="s">
        <v>139</v>
      </c>
      <c r="D318" s="3" t="s">
        <v>23</v>
      </c>
      <c r="E318" s="3">
        <v>3</v>
      </c>
      <c r="F318" s="5">
        <v>309.89999999999998</v>
      </c>
      <c r="G318" s="3" t="str">
        <f>_xlfn.XLOOKUP(Sales_Table[[#This Row],[ProductID]],Products!A:A,Products!C:C,)</f>
        <v>Beauty</v>
      </c>
      <c r="H318" s="8">
        <f>VLOOKUP(D318,Products_Table[],4,FALSE)</f>
        <v>103.3</v>
      </c>
      <c r="I318" s="3" t="str">
        <f>VLOOKUP(C318,Customer_Table[],4,FALSE)</f>
        <v>United States</v>
      </c>
      <c r="J318" s="3" t="str">
        <f t="shared" si="4"/>
        <v>MATCH</v>
      </c>
    </row>
    <row r="319" spans="1:10" x14ac:dyDescent="0.25">
      <c r="A319" s="3" t="s">
        <v>477</v>
      </c>
      <c r="B319" s="4">
        <v>45361</v>
      </c>
      <c r="C319" s="3" t="s">
        <v>57</v>
      </c>
      <c r="D319" s="3" t="s">
        <v>124</v>
      </c>
      <c r="E319" s="3">
        <v>4</v>
      </c>
      <c r="F319" s="5">
        <v>158.80000000000001</v>
      </c>
      <c r="G319" s="3" t="str">
        <f>_xlfn.XLOOKUP(Sales_Table[[#This Row],[ProductID]],Products!A:A,Products!C:C,)</f>
        <v>Electronics</v>
      </c>
      <c r="H319" s="8">
        <f>VLOOKUP(D319,Products_Table[],4,FALSE)</f>
        <v>39.700000000000003</v>
      </c>
      <c r="I319" s="3" t="str">
        <f>VLOOKUP(C319,Customer_Table[],4,FALSE)</f>
        <v>United Kingdom</v>
      </c>
      <c r="J319" s="3" t="str">
        <f t="shared" si="4"/>
        <v>MATCH</v>
      </c>
    </row>
    <row r="320" spans="1:10" x14ac:dyDescent="0.25">
      <c r="A320" s="3" t="s">
        <v>478</v>
      </c>
      <c r="B320" s="4">
        <v>45430</v>
      </c>
      <c r="C320" s="3" t="s">
        <v>34</v>
      </c>
      <c r="D320" s="3" t="s">
        <v>260</v>
      </c>
      <c r="E320" s="3">
        <v>5</v>
      </c>
      <c r="F320" s="5">
        <v>978.5</v>
      </c>
      <c r="G320" s="3" t="str">
        <f>_xlfn.XLOOKUP(Sales_Table[[#This Row],[ProductID]],Products!A:A,Products!C:C,)</f>
        <v>Clothing</v>
      </c>
      <c r="H320" s="8">
        <f>VLOOKUP(D320,Products_Table[],4,FALSE)</f>
        <v>195.7</v>
      </c>
      <c r="I320" s="3" t="str">
        <f>VLOOKUP(C320,Customer_Table[],4,FALSE)</f>
        <v>United States</v>
      </c>
      <c r="J320" s="3" t="str">
        <f t="shared" si="4"/>
        <v>MATCH</v>
      </c>
    </row>
    <row r="321" spans="1:10" x14ac:dyDescent="0.25">
      <c r="A321" s="3" t="s">
        <v>479</v>
      </c>
      <c r="B321" s="4">
        <v>45404</v>
      </c>
      <c r="C321" s="3" t="s">
        <v>105</v>
      </c>
      <c r="D321" s="3" t="s">
        <v>196</v>
      </c>
      <c r="E321" s="3">
        <v>4</v>
      </c>
      <c r="F321" s="5">
        <v>983.48</v>
      </c>
      <c r="G321" s="3" t="str">
        <f>_xlfn.XLOOKUP(Sales_Table[[#This Row],[ProductID]],Products!A:A,Products!C:C,)</f>
        <v>Beauty</v>
      </c>
      <c r="H321" s="8">
        <f>VLOOKUP(D321,Products_Table[],4,FALSE)</f>
        <v>245.87</v>
      </c>
      <c r="I321" s="3" t="str">
        <f>VLOOKUP(C321,Customer_Table[],4,FALSE)</f>
        <v>United Kingdom</v>
      </c>
      <c r="J321" s="3" t="str">
        <f t="shared" si="4"/>
        <v>MATCH</v>
      </c>
    </row>
    <row r="322" spans="1:10" x14ac:dyDescent="0.25">
      <c r="A322" s="3" t="s">
        <v>480</v>
      </c>
      <c r="B322" s="4">
        <v>45445</v>
      </c>
      <c r="C322" s="3" t="s">
        <v>289</v>
      </c>
      <c r="D322" s="3" t="s">
        <v>52</v>
      </c>
      <c r="E322" s="3">
        <v>1</v>
      </c>
      <c r="F322" s="5">
        <v>85.85</v>
      </c>
      <c r="G322" s="3" t="str">
        <f>_xlfn.XLOOKUP(Sales_Table[[#This Row],[ProductID]],Products!A:A,Products!C:C,)</f>
        <v>Beauty</v>
      </c>
      <c r="H322" s="8">
        <f>VLOOKUP(D322,Products_Table[],4,FALSE)</f>
        <v>85.85</v>
      </c>
      <c r="I322" s="3" t="str">
        <f>VLOOKUP(C322,Customer_Table[],4,FALSE)</f>
        <v>Canada</v>
      </c>
      <c r="J322" s="3" t="str">
        <f t="shared" ref="J322:J361" si="5">IF($E$2*$H$2=$F$2,"MATCH","DESCREPANCY")</f>
        <v>MATCH</v>
      </c>
    </row>
    <row r="323" spans="1:10" x14ac:dyDescent="0.25">
      <c r="A323" s="3" t="s">
        <v>481</v>
      </c>
      <c r="B323" s="4">
        <v>45402</v>
      </c>
      <c r="C323" s="3" t="s">
        <v>37</v>
      </c>
      <c r="D323" s="3" t="s">
        <v>178</v>
      </c>
      <c r="E323" s="3">
        <v>1</v>
      </c>
      <c r="F323" s="5">
        <v>217.55</v>
      </c>
      <c r="G323" s="3" t="str">
        <f>_xlfn.XLOOKUP(Sales_Table[[#This Row],[ProductID]],Products!A:A,Products!C:C,)</f>
        <v>Home</v>
      </c>
      <c r="H323" s="8">
        <f>VLOOKUP(D323,Products_Table[],4,FALSE)</f>
        <v>217.55</v>
      </c>
      <c r="I323" s="3" t="str">
        <f>VLOOKUP(C323,Customer_Table[],4,FALSE)</f>
        <v>United States</v>
      </c>
      <c r="J323" s="3" t="str">
        <f t="shared" si="5"/>
        <v>MATCH</v>
      </c>
    </row>
    <row r="324" spans="1:10" x14ac:dyDescent="0.25">
      <c r="A324" s="3" t="s">
        <v>482</v>
      </c>
      <c r="B324" s="4">
        <v>45446</v>
      </c>
      <c r="C324" s="3" t="s">
        <v>159</v>
      </c>
      <c r="D324" s="3" t="s">
        <v>68</v>
      </c>
      <c r="E324" s="3">
        <v>3</v>
      </c>
      <c r="F324" s="5">
        <v>1206.8699999999999</v>
      </c>
      <c r="G324" s="3" t="str">
        <f>_xlfn.XLOOKUP(Sales_Table[[#This Row],[ProductID]],Products!A:A,Products!C:C,)</f>
        <v>Home</v>
      </c>
      <c r="H324" s="8">
        <f>VLOOKUP(D324,Products_Table[],4,FALSE)</f>
        <v>402.29</v>
      </c>
      <c r="I324" s="3" t="str">
        <f>VLOOKUP(C324,Customer_Table[],4,FALSE)</f>
        <v>United States</v>
      </c>
      <c r="J324" s="3" t="str">
        <f t="shared" si="5"/>
        <v>MATCH</v>
      </c>
    </row>
    <row r="325" spans="1:10" x14ac:dyDescent="0.25">
      <c r="A325" s="3" t="s">
        <v>483</v>
      </c>
      <c r="B325" s="4">
        <v>45298</v>
      </c>
      <c r="C325" s="3" t="s">
        <v>180</v>
      </c>
      <c r="D325" s="3" t="s">
        <v>260</v>
      </c>
      <c r="E325" s="3">
        <v>3</v>
      </c>
      <c r="F325" s="5">
        <v>587.1</v>
      </c>
      <c r="G325" s="3" t="str">
        <f>_xlfn.XLOOKUP(Sales_Table[[#This Row],[ProductID]],Products!A:A,Products!C:C,)</f>
        <v>Clothing</v>
      </c>
      <c r="H325" s="8">
        <f>VLOOKUP(D325,Products_Table[],4,FALSE)</f>
        <v>195.7</v>
      </c>
      <c r="I325" s="3" t="str">
        <f>VLOOKUP(C325,Customer_Table[],4,FALSE)</f>
        <v>United Kingdom</v>
      </c>
      <c r="J325" s="3" t="str">
        <f t="shared" si="5"/>
        <v>MATCH</v>
      </c>
    </row>
    <row r="326" spans="1:10" x14ac:dyDescent="0.25">
      <c r="A326" s="3" t="s">
        <v>484</v>
      </c>
      <c r="B326" s="4">
        <v>45350</v>
      </c>
      <c r="C326" s="3" t="s">
        <v>97</v>
      </c>
      <c r="D326" s="3" t="s">
        <v>152</v>
      </c>
      <c r="E326" s="3">
        <v>1</v>
      </c>
      <c r="F326" s="5">
        <v>340.85</v>
      </c>
      <c r="G326" s="3" t="str">
        <f>_xlfn.XLOOKUP(Sales_Table[[#This Row],[ProductID]],Products!A:A,Products!C:C,)</f>
        <v>Electronics</v>
      </c>
      <c r="H326" s="8">
        <f>VLOOKUP(D326,Products_Table[],4,FALSE)</f>
        <v>340.85</v>
      </c>
      <c r="I326" s="3" t="str">
        <f>VLOOKUP(C326,Customer_Table[],4,FALSE)</f>
        <v>United States</v>
      </c>
      <c r="J326" s="3" t="str">
        <f t="shared" si="5"/>
        <v>MATCH</v>
      </c>
    </row>
    <row r="327" spans="1:10" x14ac:dyDescent="0.25">
      <c r="A327" s="3" t="s">
        <v>485</v>
      </c>
      <c r="B327" s="4">
        <v>45442</v>
      </c>
      <c r="C327" s="3" t="s">
        <v>264</v>
      </c>
      <c r="D327" s="3" t="s">
        <v>160</v>
      </c>
      <c r="E327" s="3">
        <v>5</v>
      </c>
      <c r="F327" s="5">
        <v>217.9</v>
      </c>
      <c r="G327" s="3" t="str">
        <f>_xlfn.XLOOKUP(Sales_Table[[#This Row],[ProductID]],Products!A:A,Products!C:C,)</f>
        <v>Clothing</v>
      </c>
      <c r="H327" s="8">
        <f>VLOOKUP(D327,Products_Table[],4,FALSE)</f>
        <v>43.58</v>
      </c>
      <c r="I327" s="3" t="str">
        <f>VLOOKUP(C327,Customer_Table[],4,FALSE)</f>
        <v>Canada</v>
      </c>
      <c r="J327" s="3" t="str">
        <f t="shared" si="5"/>
        <v>MATCH</v>
      </c>
    </row>
    <row r="328" spans="1:10" x14ac:dyDescent="0.25">
      <c r="A328" s="3" t="s">
        <v>486</v>
      </c>
      <c r="B328" s="4">
        <v>45464</v>
      </c>
      <c r="C328" s="3" t="s">
        <v>22</v>
      </c>
      <c r="D328" s="3" t="s">
        <v>68</v>
      </c>
      <c r="E328" s="3">
        <v>1</v>
      </c>
      <c r="F328" s="5">
        <v>402.29</v>
      </c>
      <c r="G328" s="3" t="str">
        <f>_xlfn.XLOOKUP(Sales_Table[[#This Row],[ProductID]],Products!A:A,Products!C:C,)</f>
        <v>Home</v>
      </c>
      <c r="H328" s="8">
        <f>VLOOKUP(D328,Products_Table[],4,FALSE)</f>
        <v>402.29</v>
      </c>
      <c r="I328" s="3" t="str">
        <f>VLOOKUP(C328,Customer_Table[],4,FALSE)</f>
        <v>United States</v>
      </c>
      <c r="J328" s="3" t="str">
        <f t="shared" si="5"/>
        <v>MATCH</v>
      </c>
    </row>
    <row r="329" spans="1:10" x14ac:dyDescent="0.25">
      <c r="A329" s="3" t="s">
        <v>487</v>
      </c>
      <c r="B329" s="4">
        <v>45439</v>
      </c>
      <c r="C329" s="3" t="s">
        <v>46</v>
      </c>
      <c r="D329" s="3" t="s">
        <v>38</v>
      </c>
      <c r="E329" s="3">
        <v>3</v>
      </c>
      <c r="F329" s="5">
        <v>1002.96</v>
      </c>
      <c r="G329" s="3" t="str">
        <f>_xlfn.XLOOKUP(Sales_Table[[#This Row],[ProductID]],Products!A:A,Products!C:C,)</f>
        <v>Sports</v>
      </c>
      <c r="H329" s="8">
        <f>VLOOKUP(D329,Products_Table[],4,FALSE)</f>
        <v>334.32</v>
      </c>
      <c r="I329" s="3" t="str">
        <f>VLOOKUP(C329,Customer_Table[],4,FALSE)</f>
        <v>United Kingdom</v>
      </c>
      <c r="J329" s="3" t="str">
        <f t="shared" si="5"/>
        <v>MATCH</v>
      </c>
    </row>
    <row r="330" spans="1:10" x14ac:dyDescent="0.25">
      <c r="A330" s="3" t="s">
        <v>488</v>
      </c>
      <c r="B330" s="4">
        <v>45336</v>
      </c>
      <c r="C330" s="3" t="s">
        <v>46</v>
      </c>
      <c r="D330" s="3" t="s">
        <v>17</v>
      </c>
      <c r="E330" s="3">
        <v>1</v>
      </c>
      <c r="F330" s="5">
        <v>394.46</v>
      </c>
      <c r="G330" s="3" t="str">
        <f>_xlfn.XLOOKUP(Sales_Table[[#This Row],[ProductID]],Products!A:A,Products!C:C,)</f>
        <v>Clothing</v>
      </c>
      <c r="H330" s="8">
        <f>VLOOKUP(D330,Products_Table[],4,FALSE)</f>
        <v>394.46</v>
      </c>
      <c r="I330" s="3" t="str">
        <f>VLOOKUP(C330,Customer_Table[],4,FALSE)</f>
        <v>United Kingdom</v>
      </c>
      <c r="J330" s="3" t="str">
        <f t="shared" si="5"/>
        <v>MATCH</v>
      </c>
    </row>
    <row r="331" spans="1:10" x14ac:dyDescent="0.25">
      <c r="A331" s="3" t="s">
        <v>489</v>
      </c>
      <c r="B331" s="4">
        <v>45424</v>
      </c>
      <c r="C331" s="3" t="s">
        <v>176</v>
      </c>
      <c r="D331" s="3" t="s">
        <v>124</v>
      </c>
      <c r="E331" s="3">
        <v>4</v>
      </c>
      <c r="F331" s="5">
        <v>158.80000000000001</v>
      </c>
      <c r="G331" s="3" t="str">
        <f>_xlfn.XLOOKUP(Sales_Table[[#This Row],[ProductID]],Products!A:A,Products!C:C,)</f>
        <v>Electronics</v>
      </c>
      <c r="H331" s="8">
        <f>VLOOKUP(D331,Products_Table[],4,FALSE)</f>
        <v>39.700000000000003</v>
      </c>
      <c r="I331" s="3" t="str">
        <f>VLOOKUP(C331,Customer_Table[],4,FALSE)</f>
        <v>United Kingdom</v>
      </c>
      <c r="J331" s="3" t="str">
        <f t="shared" si="5"/>
        <v>MATCH</v>
      </c>
    </row>
    <row r="332" spans="1:10" x14ac:dyDescent="0.25">
      <c r="A332" s="3" t="s">
        <v>490</v>
      </c>
      <c r="B332" s="4">
        <v>45363</v>
      </c>
      <c r="C332" s="3" t="s">
        <v>214</v>
      </c>
      <c r="D332" s="3" t="s">
        <v>136</v>
      </c>
      <c r="E332" s="3">
        <v>4</v>
      </c>
      <c r="F332" s="5">
        <v>1724.88</v>
      </c>
      <c r="G332" s="3" t="str">
        <f>_xlfn.XLOOKUP(Sales_Table[[#This Row],[ProductID]],Products!A:A,Products!C:C,)</f>
        <v>Electronics</v>
      </c>
      <c r="H332" s="8">
        <f>VLOOKUP(D332,Products_Table[],4,FALSE)</f>
        <v>431.22</v>
      </c>
      <c r="I332" s="3" t="str">
        <f>VLOOKUP(C332,Customer_Table[],4,FALSE)</f>
        <v>United Kingdom</v>
      </c>
      <c r="J332" s="3" t="str">
        <f t="shared" si="5"/>
        <v>MATCH</v>
      </c>
    </row>
    <row r="333" spans="1:10" x14ac:dyDescent="0.25">
      <c r="A333" s="3" t="s">
        <v>491</v>
      </c>
      <c r="B333" s="4">
        <v>45441</v>
      </c>
      <c r="C333" s="3" t="s">
        <v>54</v>
      </c>
      <c r="D333" s="3" t="s">
        <v>35</v>
      </c>
      <c r="E333" s="3">
        <v>2</v>
      </c>
      <c r="F333" s="5">
        <v>584.67999999999995</v>
      </c>
      <c r="G333" s="3" t="str">
        <f>_xlfn.XLOOKUP(Sales_Table[[#This Row],[ProductID]],Products!A:A,Products!C:C,)</f>
        <v>Sports</v>
      </c>
      <c r="H333" s="8">
        <f>VLOOKUP(D333,Products_Table[],4,FALSE)</f>
        <v>292.33999999999997</v>
      </c>
      <c r="I333" s="3" t="str">
        <f>VLOOKUP(C333,Customer_Table[],4,FALSE)</f>
        <v>India</v>
      </c>
      <c r="J333" s="3" t="str">
        <f t="shared" si="5"/>
        <v>MATCH</v>
      </c>
    </row>
    <row r="334" spans="1:10" x14ac:dyDescent="0.25">
      <c r="A334" s="3" t="s">
        <v>492</v>
      </c>
      <c r="B334" s="4">
        <v>45454</v>
      </c>
      <c r="C334" s="3" t="s">
        <v>249</v>
      </c>
      <c r="D334" s="3" t="s">
        <v>38</v>
      </c>
      <c r="E334" s="3">
        <v>4</v>
      </c>
      <c r="F334" s="5">
        <v>1337.28</v>
      </c>
      <c r="G334" s="3" t="str">
        <f>_xlfn.XLOOKUP(Sales_Table[[#This Row],[ProductID]],Products!A:A,Products!C:C,)</f>
        <v>Sports</v>
      </c>
      <c r="H334" s="8">
        <f>VLOOKUP(D334,Products_Table[],4,FALSE)</f>
        <v>334.32</v>
      </c>
      <c r="I334" s="3" t="str">
        <f>VLOOKUP(C334,Customer_Table[],4,FALSE)</f>
        <v>Canada</v>
      </c>
      <c r="J334" s="3" t="str">
        <f t="shared" si="5"/>
        <v>MATCH</v>
      </c>
    </row>
    <row r="335" spans="1:10" x14ac:dyDescent="0.25">
      <c r="A335" s="3" t="s">
        <v>493</v>
      </c>
      <c r="B335" s="4">
        <v>45315</v>
      </c>
      <c r="C335" s="3" t="s">
        <v>439</v>
      </c>
      <c r="D335" s="3" t="s">
        <v>17</v>
      </c>
      <c r="E335" s="3">
        <v>4</v>
      </c>
      <c r="F335" s="5">
        <v>1577.84</v>
      </c>
      <c r="G335" s="3" t="str">
        <f>_xlfn.XLOOKUP(Sales_Table[[#This Row],[ProductID]],Products!A:A,Products!C:C,)</f>
        <v>Clothing</v>
      </c>
      <c r="H335" s="8">
        <f>VLOOKUP(D335,Products_Table[],4,FALSE)</f>
        <v>394.46</v>
      </c>
      <c r="I335" s="3" t="str">
        <f>VLOOKUP(C335,Customer_Table[],4,FALSE)</f>
        <v>Canada</v>
      </c>
      <c r="J335" s="3" t="str">
        <f t="shared" si="5"/>
        <v>MATCH</v>
      </c>
    </row>
    <row r="336" spans="1:10" x14ac:dyDescent="0.25">
      <c r="A336" s="3" t="s">
        <v>494</v>
      </c>
      <c r="B336" s="4">
        <v>45381</v>
      </c>
      <c r="C336" s="3" t="s">
        <v>209</v>
      </c>
      <c r="D336" s="3" t="s">
        <v>55</v>
      </c>
      <c r="E336" s="3">
        <v>4</v>
      </c>
      <c r="F336" s="5">
        <v>522.6</v>
      </c>
      <c r="G336" s="3" t="str">
        <f>_xlfn.XLOOKUP(Sales_Table[[#This Row],[ProductID]],Products!A:A,Products!C:C,)</f>
        <v>Sports</v>
      </c>
      <c r="H336" s="8">
        <f>VLOOKUP(D336,Products_Table[],4,FALSE)</f>
        <v>130.65</v>
      </c>
      <c r="I336" s="3" t="str">
        <f>VLOOKUP(C336,Customer_Table[],4,FALSE)</f>
        <v>India</v>
      </c>
      <c r="J336" s="3" t="str">
        <f t="shared" si="5"/>
        <v>MATCH</v>
      </c>
    </row>
    <row r="337" spans="1:10" x14ac:dyDescent="0.25">
      <c r="A337" s="3" t="s">
        <v>495</v>
      </c>
      <c r="B337" s="4">
        <v>45377</v>
      </c>
      <c r="C337" s="3" t="s">
        <v>65</v>
      </c>
      <c r="D337" s="3" t="s">
        <v>160</v>
      </c>
      <c r="E337" s="3">
        <v>4</v>
      </c>
      <c r="F337" s="5">
        <v>174.32</v>
      </c>
      <c r="G337" s="3" t="str">
        <f>_xlfn.XLOOKUP(Sales_Table[[#This Row],[ProductID]],Products!A:A,Products!C:C,)</f>
        <v>Clothing</v>
      </c>
      <c r="H337" s="8">
        <f>VLOOKUP(D337,Products_Table[],4,FALSE)</f>
        <v>43.58</v>
      </c>
      <c r="I337" s="3" t="str">
        <f>VLOOKUP(C337,Customer_Table[],4,FALSE)</f>
        <v>India</v>
      </c>
      <c r="J337" s="3" t="str">
        <f t="shared" si="5"/>
        <v>MATCH</v>
      </c>
    </row>
    <row r="338" spans="1:10" x14ac:dyDescent="0.25">
      <c r="A338" s="3" t="s">
        <v>496</v>
      </c>
      <c r="B338" s="4">
        <v>45463</v>
      </c>
      <c r="C338" s="3" t="s">
        <v>295</v>
      </c>
      <c r="D338" s="3" t="s">
        <v>28</v>
      </c>
      <c r="E338" s="3">
        <v>3</v>
      </c>
      <c r="F338" s="5">
        <v>1356.6</v>
      </c>
      <c r="G338" s="3" t="str">
        <f>_xlfn.XLOOKUP(Sales_Table[[#This Row],[ProductID]],Products!A:A,Products!C:C,)</f>
        <v>Beauty</v>
      </c>
      <c r="H338" s="8">
        <f>VLOOKUP(D338,Products_Table[],4,FALSE)</f>
        <v>452.2</v>
      </c>
      <c r="I338" s="3" t="str">
        <f>VLOOKUP(C338,Customer_Table[],4,FALSE)</f>
        <v>United States</v>
      </c>
      <c r="J338" s="3" t="str">
        <f t="shared" si="5"/>
        <v>MATCH</v>
      </c>
    </row>
    <row r="339" spans="1:10" x14ac:dyDescent="0.25">
      <c r="A339" s="3" t="s">
        <v>497</v>
      </c>
      <c r="B339" s="4">
        <v>45333</v>
      </c>
      <c r="C339" s="3" t="s">
        <v>62</v>
      </c>
      <c r="D339" s="3" t="s">
        <v>72</v>
      </c>
      <c r="E339" s="3">
        <v>1</v>
      </c>
      <c r="F339" s="5">
        <v>216.72</v>
      </c>
      <c r="G339" s="3" t="str">
        <f>_xlfn.XLOOKUP(Sales_Table[[#This Row],[ProductID]],Products!A:A,Products!C:C,)</f>
        <v>Clothing</v>
      </c>
      <c r="H339" s="8">
        <f>VLOOKUP(D339,Products_Table[],4,FALSE)</f>
        <v>216.72</v>
      </c>
      <c r="I339" s="3" t="str">
        <f>VLOOKUP(C339,Customer_Table[],4,FALSE)</f>
        <v>Canada</v>
      </c>
      <c r="J339" s="3" t="str">
        <f t="shared" si="5"/>
        <v>MATCH</v>
      </c>
    </row>
    <row r="340" spans="1:10" x14ac:dyDescent="0.25">
      <c r="A340" s="3" t="s">
        <v>498</v>
      </c>
      <c r="B340" s="4">
        <v>45397</v>
      </c>
      <c r="C340" s="3" t="s">
        <v>159</v>
      </c>
      <c r="D340" s="3" t="s">
        <v>160</v>
      </c>
      <c r="E340" s="3">
        <v>3</v>
      </c>
      <c r="F340" s="5">
        <v>130.74</v>
      </c>
      <c r="G340" s="3" t="str">
        <f>_xlfn.XLOOKUP(Sales_Table[[#This Row],[ProductID]],Products!A:A,Products!C:C,)</f>
        <v>Clothing</v>
      </c>
      <c r="H340" s="8">
        <f>VLOOKUP(D340,Products_Table[],4,FALSE)</f>
        <v>43.58</v>
      </c>
      <c r="I340" s="3" t="str">
        <f>VLOOKUP(C340,Customer_Table[],4,FALSE)</f>
        <v>United States</v>
      </c>
      <c r="J340" s="3" t="str">
        <f t="shared" si="5"/>
        <v>MATCH</v>
      </c>
    </row>
    <row r="341" spans="1:10" x14ac:dyDescent="0.25">
      <c r="A341" s="3" t="s">
        <v>499</v>
      </c>
      <c r="B341" s="4">
        <v>45365</v>
      </c>
      <c r="C341" s="3" t="s">
        <v>297</v>
      </c>
      <c r="D341" s="3" t="s">
        <v>35</v>
      </c>
      <c r="E341" s="3">
        <v>4</v>
      </c>
      <c r="F341" s="5">
        <v>1169.3599999999999</v>
      </c>
      <c r="G341" s="3" t="str">
        <f>_xlfn.XLOOKUP(Sales_Table[[#This Row],[ProductID]],Products!A:A,Products!C:C,)</f>
        <v>Sports</v>
      </c>
      <c r="H341" s="8">
        <f>VLOOKUP(D341,Products_Table[],4,FALSE)</f>
        <v>292.33999999999997</v>
      </c>
      <c r="I341" s="3" t="str">
        <f>VLOOKUP(C341,Customer_Table[],4,FALSE)</f>
        <v>United Kingdom</v>
      </c>
      <c r="J341" s="3" t="str">
        <f t="shared" si="5"/>
        <v>MATCH</v>
      </c>
    </row>
    <row r="342" spans="1:10" x14ac:dyDescent="0.25">
      <c r="A342" s="3" t="s">
        <v>500</v>
      </c>
      <c r="B342" s="4">
        <v>45432</v>
      </c>
      <c r="C342" s="3" t="s">
        <v>141</v>
      </c>
      <c r="D342" s="3" t="s">
        <v>152</v>
      </c>
      <c r="E342" s="3">
        <v>4</v>
      </c>
      <c r="F342" s="5">
        <v>1363.4</v>
      </c>
      <c r="G342" s="3" t="str">
        <f>_xlfn.XLOOKUP(Sales_Table[[#This Row],[ProductID]],Products!A:A,Products!C:C,)</f>
        <v>Electronics</v>
      </c>
      <c r="H342" s="8">
        <f>VLOOKUP(D342,Products_Table[],4,FALSE)</f>
        <v>340.85</v>
      </c>
      <c r="I342" s="3" t="str">
        <f>VLOOKUP(C342,Customer_Table[],4,FALSE)</f>
        <v>India</v>
      </c>
      <c r="J342" s="3" t="str">
        <f t="shared" si="5"/>
        <v>MATCH</v>
      </c>
    </row>
    <row r="343" spans="1:10" x14ac:dyDescent="0.25">
      <c r="A343" s="3" t="s">
        <v>501</v>
      </c>
      <c r="B343" s="4">
        <v>45408</v>
      </c>
      <c r="C343" s="3" t="s">
        <v>145</v>
      </c>
      <c r="D343" s="3" t="s">
        <v>35</v>
      </c>
      <c r="E343" s="3">
        <v>1</v>
      </c>
      <c r="F343" s="5">
        <v>292.33999999999997</v>
      </c>
      <c r="G343" s="3" t="str">
        <f>_xlfn.XLOOKUP(Sales_Table[[#This Row],[ProductID]],Products!A:A,Products!C:C,)</f>
        <v>Sports</v>
      </c>
      <c r="H343" s="8">
        <f>VLOOKUP(D343,Products_Table[],4,FALSE)</f>
        <v>292.33999999999997</v>
      </c>
      <c r="I343" s="3" t="str">
        <f>VLOOKUP(C343,Customer_Table[],4,FALSE)</f>
        <v>United Kingdom</v>
      </c>
      <c r="J343" s="3" t="str">
        <f t="shared" si="5"/>
        <v>MATCH</v>
      </c>
    </row>
    <row r="344" spans="1:10" x14ac:dyDescent="0.25">
      <c r="A344" s="3" t="s">
        <v>502</v>
      </c>
      <c r="B344" s="4">
        <v>45372</v>
      </c>
      <c r="C344" s="3" t="s">
        <v>182</v>
      </c>
      <c r="D344" s="3" t="s">
        <v>122</v>
      </c>
      <c r="E344" s="3">
        <v>1</v>
      </c>
      <c r="F344" s="5">
        <v>87.14</v>
      </c>
      <c r="G344" s="3" t="str">
        <f>_xlfn.XLOOKUP(Sales_Table[[#This Row],[ProductID]],Products!A:A,Products!C:C,)</f>
        <v>Sports</v>
      </c>
      <c r="H344" s="8">
        <f>VLOOKUP(D344,Products_Table[],4,FALSE)</f>
        <v>87.14</v>
      </c>
      <c r="I344" s="3" t="str">
        <f>VLOOKUP(C344,Customer_Table[],4,FALSE)</f>
        <v>Canada</v>
      </c>
      <c r="J344" s="3" t="str">
        <f t="shared" si="5"/>
        <v>MATCH</v>
      </c>
    </row>
    <row r="345" spans="1:10" x14ac:dyDescent="0.25">
      <c r="A345" s="3" t="s">
        <v>503</v>
      </c>
      <c r="B345" s="4">
        <v>45374</v>
      </c>
      <c r="C345" s="3" t="s">
        <v>431</v>
      </c>
      <c r="D345" s="3" t="s">
        <v>81</v>
      </c>
      <c r="E345" s="3">
        <v>3</v>
      </c>
      <c r="F345" s="5">
        <v>1299.8399999999999</v>
      </c>
      <c r="G345" s="3" t="str">
        <f>_xlfn.XLOOKUP(Sales_Table[[#This Row],[ProductID]],Products!A:A,Products!C:C,)</f>
        <v>Beauty</v>
      </c>
      <c r="H345" s="8">
        <f>VLOOKUP(D345,Products_Table[],4,FALSE)</f>
        <v>433.28</v>
      </c>
      <c r="I345" s="3" t="str">
        <f>VLOOKUP(C345,Customer_Table[],4,FALSE)</f>
        <v>United Kingdom</v>
      </c>
      <c r="J345" s="3" t="str">
        <f t="shared" si="5"/>
        <v>MATCH</v>
      </c>
    </row>
    <row r="346" spans="1:10" x14ac:dyDescent="0.25">
      <c r="A346" s="3" t="s">
        <v>504</v>
      </c>
      <c r="B346" s="4">
        <v>45395</v>
      </c>
      <c r="C346" s="3" t="s">
        <v>89</v>
      </c>
      <c r="D346" s="3" t="s">
        <v>35</v>
      </c>
      <c r="E346" s="3">
        <v>1</v>
      </c>
      <c r="F346" s="5">
        <v>292.33999999999997</v>
      </c>
      <c r="G346" s="3" t="str">
        <f>_xlfn.XLOOKUP(Sales_Table[[#This Row],[ProductID]],Products!A:A,Products!C:C,)</f>
        <v>Sports</v>
      </c>
      <c r="H346" s="8">
        <f>VLOOKUP(D346,Products_Table[],4,FALSE)</f>
        <v>292.33999999999997</v>
      </c>
      <c r="I346" s="3" t="str">
        <f>VLOOKUP(C346,Customer_Table[],4,FALSE)</f>
        <v>United Kingdom</v>
      </c>
      <c r="J346" s="3" t="str">
        <f t="shared" si="5"/>
        <v>MATCH</v>
      </c>
    </row>
    <row r="347" spans="1:10" x14ac:dyDescent="0.25">
      <c r="A347" s="3" t="s">
        <v>505</v>
      </c>
      <c r="B347" s="4">
        <v>45292</v>
      </c>
      <c r="C347" s="3" t="s">
        <v>139</v>
      </c>
      <c r="D347" s="3" t="s">
        <v>44</v>
      </c>
      <c r="E347" s="3">
        <v>5</v>
      </c>
      <c r="F347" s="5">
        <v>1363.9</v>
      </c>
      <c r="G347" s="3" t="str">
        <f>_xlfn.XLOOKUP(Sales_Table[[#This Row],[ProductID]],Products!A:A,Products!C:C,)</f>
        <v>Clothing</v>
      </c>
      <c r="H347" s="8">
        <f>VLOOKUP(D347,Products_Table[],4,FALSE)</f>
        <v>272.77999999999997</v>
      </c>
      <c r="I347" s="3" t="str">
        <f>VLOOKUP(C347,Customer_Table[],4,FALSE)</f>
        <v>United States</v>
      </c>
      <c r="J347" s="3" t="str">
        <f t="shared" si="5"/>
        <v>MATCH</v>
      </c>
    </row>
    <row r="348" spans="1:10" x14ac:dyDescent="0.25">
      <c r="A348" s="3" t="s">
        <v>506</v>
      </c>
      <c r="B348" s="4">
        <v>45410</v>
      </c>
      <c r="C348" s="3" t="s">
        <v>442</v>
      </c>
      <c r="D348" s="3" t="s">
        <v>63</v>
      </c>
      <c r="E348" s="3">
        <v>5</v>
      </c>
      <c r="F348" s="5">
        <v>289.89999999999998</v>
      </c>
      <c r="G348" s="3" t="str">
        <f>_xlfn.XLOOKUP(Sales_Table[[#This Row],[ProductID]],Products!A:A,Products!C:C,)</f>
        <v>Sports</v>
      </c>
      <c r="H348" s="8">
        <f>VLOOKUP(D348,Products_Table[],4,FALSE)</f>
        <v>57.98</v>
      </c>
      <c r="I348" s="3" t="str">
        <f>VLOOKUP(C348,Customer_Table[],4,FALSE)</f>
        <v>United Kingdom</v>
      </c>
      <c r="J348" s="3" t="str">
        <f t="shared" si="5"/>
        <v>MATCH</v>
      </c>
    </row>
    <row r="349" spans="1:10" x14ac:dyDescent="0.25">
      <c r="A349" s="3" t="s">
        <v>507</v>
      </c>
      <c r="B349" s="4">
        <v>45305</v>
      </c>
      <c r="C349" s="3" t="s">
        <v>111</v>
      </c>
      <c r="D349" s="3" t="s">
        <v>108</v>
      </c>
      <c r="E349" s="3">
        <v>4</v>
      </c>
      <c r="F349" s="5">
        <v>197</v>
      </c>
      <c r="G349" s="3" t="str">
        <f>_xlfn.XLOOKUP(Sales_Table[[#This Row],[ProductID]],Products!A:A,Products!C:C,)</f>
        <v>Sports</v>
      </c>
      <c r="H349" s="8">
        <f>VLOOKUP(D349,Products_Table[],4,FALSE)</f>
        <v>49.25</v>
      </c>
      <c r="I349" s="3" t="str">
        <f>VLOOKUP(C349,Customer_Table[],4,FALSE)</f>
        <v>United Kingdom</v>
      </c>
      <c r="J349" s="3" t="str">
        <f t="shared" si="5"/>
        <v>MATCH</v>
      </c>
    </row>
    <row r="350" spans="1:10" x14ac:dyDescent="0.25">
      <c r="A350" s="3" t="s">
        <v>508</v>
      </c>
      <c r="B350" s="4">
        <v>45424</v>
      </c>
      <c r="C350" s="3" t="s">
        <v>195</v>
      </c>
      <c r="D350" s="3" t="s">
        <v>108</v>
      </c>
      <c r="E350" s="3">
        <v>2</v>
      </c>
      <c r="F350" s="5">
        <v>98.5</v>
      </c>
      <c r="G350" s="3" t="str">
        <f>_xlfn.XLOOKUP(Sales_Table[[#This Row],[ProductID]],Products!A:A,Products!C:C,)</f>
        <v>Sports</v>
      </c>
      <c r="H350" s="8">
        <f>VLOOKUP(D350,Products_Table[],4,FALSE)</f>
        <v>49.25</v>
      </c>
      <c r="I350" s="3" t="str">
        <f>VLOOKUP(C350,Customer_Table[],4,FALSE)</f>
        <v>United Kingdom</v>
      </c>
      <c r="J350" s="3" t="str">
        <f t="shared" si="5"/>
        <v>MATCH</v>
      </c>
    </row>
    <row r="351" spans="1:10" x14ac:dyDescent="0.25">
      <c r="A351" s="3" t="s">
        <v>509</v>
      </c>
      <c r="B351" s="4">
        <v>45451</v>
      </c>
      <c r="C351" s="3" t="s">
        <v>346</v>
      </c>
      <c r="D351" s="3" t="s">
        <v>196</v>
      </c>
      <c r="E351" s="3">
        <v>3</v>
      </c>
      <c r="F351" s="5">
        <v>737.61</v>
      </c>
      <c r="G351" s="3" t="str">
        <f>_xlfn.XLOOKUP(Sales_Table[[#This Row],[ProductID]],Products!A:A,Products!C:C,)</f>
        <v>Beauty</v>
      </c>
      <c r="H351" s="8">
        <f>VLOOKUP(D351,Products_Table[],4,FALSE)</f>
        <v>245.87</v>
      </c>
      <c r="I351" s="3" t="str">
        <f>VLOOKUP(C351,Customer_Table[],4,FALSE)</f>
        <v>Canada</v>
      </c>
      <c r="J351" s="3" t="str">
        <f t="shared" si="5"/>
        <v>MATCH</v>
      </c>
    </row>
    <row r="352" spans="1:10" x14ac:dyDescent="0.25">
      <c r="A352" s="3" t="s">
        <v>510</v>
      </c>
      <c r="B352" s="4">
        <v>45452</v>
      </c>
      <c r="C352" s="3" t="s">
        <v>310</v>
      </c>
      <c r="D352" s="3" t="s">
        <v>129</v>
      </c>
      <c r="E352" s="3">
        <v>4</v>
      </c>
      <c r="F352" s="5">
        <v>466.68</v>
      </c>
      <c r="G352" s="3" t="str">
        <f>_xlfn.XLOOKUP(Sales_Table[[#This Row],[ProductID]],Products!A:A,Products!C:C,)</f>
        <v>Home</v>
      </c>
      <c r="H352" s="8">
        <f>VLOOKUP(D352,Products_Table[],4,FALSE)</f>
        <v>116.67</v>
      </c>
      <c r="I352" s="3" t="str">
        <f>VLOOKUP(C352,Customer_Table[],4,FALSE)</f>
        <v>United States</v>
      </c>
      <c r="J352" s="3" t="str">
        <f t="shared" si="5"/>
        <v>MATCH</v>
      </c>
    </row>
    <row r="353" spans="1:10" x14ac:dyDescent="0.25">
      <c r="A353" s="3" t="s">
        <v>511</v>
      </c>
      <c r="B353" s="4">
        <v>45305</v>
      </c>
      <c r="C353" s="3" t="s">
        <v>74</v>
      </c>
      <c r="D353" s="3" t="s">
        <v>55</v>
      </c>
      <c r="E353" s="3">
        <v>4</v>
      </c>
      <c r="F353" s="5">
        <v>522.6</v>
      </c>
      <c r="G353" s="3" t="str">
        <f>_xlfn.XLOOKUP(Sales_Table[[#This Row],[ProductID]],Products!A:A,Products!C:C,)</f>
        <v>Sports</v>
      </c>
      <c r="H353" s="8">
        <f>VLOOKUP(D353,Products_Table[],4,FALSE)</f>
        <v>130.65</v>
      </c>
      <c r="I353" s="3" t="str">
        <f>VLOOKUP(C353,Customer_Table[],4,FALSE)</f>
        <v>India</v>
      </c>
      <c r="J353" s="3" t="str">
        <f t="shared" si="5"/>
        <v>MATCH</v>
      </c>
    </row>
    <row r="354" spans="1:10" x14ac:dyDescent="0.25">
      <c r="A354" s="3" t="s">
        <v>512</v>
      </c>
      <c r="B354" s="4">
        <v>45360</v>
      </c>
      <c r="C354" s="3" t="s">
        <v>10</v>
      </c>
      <c r="D354" s="3" t="s">
        <v>165</v>
      </c>
      <c r="E354" s="3">
        <v>2</v>
      </c>
      <c r="F354" s="5">
        <v>523.88</v>
      </c>
      <c r="G354" s="3" t="str">
        <f>_xlfn.XLOOKUP(Sales_Table[[#This Row],[ProductID]],Products!A:A,Products!C:C,)</f>
        <v>Electronics</v>
      </c>
      <c r="H354" s="8">
        <f>VLOOKUP(D354,Products_Table[],4,FALSE)</f>
        <v>261.94</v>
      </c>
      <c r="I354" s="3" t="str">
        <f>VLOOKUP(C354,Customer_Table[],4,FALSE)</f>
        <v>India</v>
      </c>
      <c r="J354" s="3" t="str">
        <f t="shared" si="5"/>
        <v>MATCH</v>
      </c>
    </row>
    <row r="355" spans="1:10" x14ac:dyDescent="0.25">
      <c r="A355" s="3" t="s">
        <v>513</v>
      </c>
      <c r="B355" s="4">
        <v>45325</v>
      </c>
      <c r="C355" s="3" t="s">
        <v>514</v>
      </c>
      <c r="D355" s="3" t="s">
        <v>136</v>
      </c>
      <c r="E355" s="3">
        <v>5</v>
      </c>
      <c r="F355" s="5">
        <v>2156.1</v>
      </c>
      <c r="G355" s="3" t="str">
        <f>_xlfn.XLOOKUP(Sales_Table[[#This Row],[ProductID]],Products!A:A,Products!C:C,)</f>
        <v>Electronics</v>
      </c>
      <c r="H355" s="8">
        <f>VLOOKUP(D355,Products_Table[],4,FALSE)</f>
        <v>431.22</v>
      </c>
      <c r="I355" s="3" t="str">
        <f>VLOOKUP(C355,Customer_Table[],4,FALSE)</f>
        <v>United Kingdom</v>
      </c>
      <c r="J355" s="3" t="str">
        <f t="shared" si="5"/>
        <v>MATCH</v>
      </c>
    </row>
    <row r="356" spans="1:10" x14ac:dyDescent="0.25">
      <c r="A356" s="3" t="s">
        <v>515</v>
      </c>
      <c r="B356" s="4">
        <v>45404</v>
      </c>
      <c r="C356" s="3" t="s">
        <v>436</v>
      </c>
      <c r="D356" s="3" t="s">
        <v>35</v>
      </c>
      <c r="E356" s="3">
        <v>3</v>
      </c>
      <c r="F356" s="5">
        <v>877.02</v>
      </c>
      <c r="G356" s="3" t="str">
        <f>_xlfn.XLOOKUP(Sales_Table[[#This Row],[ProductID]],Products!A:A,Products!C:C,)</f>
        <v>Sports</v>
      </c>
      <c r="H356" s="8">
        <f>VLOOKUP(D356,Products_Table[],4,FALSE)</f>
        <v>292.33999999999997</v>
      </c>
      <c r="I356" s="3" t="str">
        <f>VLOOKUP(C356,Customer_Table[],4,FALSE)</f>
        <v>United States</v>
      </c>
      <c r="J356" s="3" t="str">
        <f t="shared" si="5"/>
        <v>MATCH</v>
      </c>
    </row>
    <row r="357" spans="1:10" x14ac:dyDescent="0.25">
      <c r="A357" s="3" t="s">
        <v>516</v>
      </c>
      <c r="B357" s="4">
        <v>45323</v>
      </c>
      <c r="C357" s="3" t="s">
        <v>167</v>
      </c>
      <c r="D357" s="3" t="s">
        <v>152</v>
      </c>
      <c r="E357" s="3">
        <v>4</v>
      </c>
      <c r="F357" s="5">
        <v>1363.4</v>
      </c>
      <c r="G357" s="3" t="str">
        <f>_xlfn.XLOOKUP(Sales_Table[[#This Row],[ProductID]],Products!A:A,Products!C:C,)</f>
        <v>Electronics</v>
      </c>
      <c r="H357" s="8">
        <f>VLOOKUP(D357,Products_Table[],4,FALSE)</f>
        <v>340.85</v>
      </c>
      <c r="I357" s="3" t="str">
        <f>VLOOKUP(C357,Customer_Table[],4,FALSE)</f>
        <v>United Kingdom</v>
      </c>
      <c r="J357" s="3" t="str">
        <f t="shared" si="5"/>
        <v>MATCH</v>
      </c>
    </row>
    <row r="358" spans="1:10" x14ac:dyDescent="0.25">
      <c r="A358" s="3" t="s">
        <v>517</v>
      </c>
      <c r="B358" s="4">
        <v>45453</v>
      </c>
      <c r="C358" s="3" t="s">
        <v>74</v>
      </c>
      <c r="D358" s="3" t="s">
        <v>11</v>
      </c>
      <c r="E358" s="3">
        <v>1</v>
      </c>
      <c r="F358" s="5">
        <v>39.869999999999997</v>
      </c>
      <c r="G358" s="3" t="str">
        <f>_xlfn.XLOOKUP(Sales_Table[[#This Row],[ProductID]],Products!A:A,Products!C:C,)</f>
        <v>Sports</v>
      </c>
      <c r="H358" s="8">
        <f>VLOOKUP(D358,Products_Table[],4,FALSE)</f>
        <v>39.869999999999997</v>
      </c>
      <c r="I358" s="3" t="str">
        <f>VLOOKUP(C358,Customer_Table[],4,FALSE)</f>
        <v>India</v>
      </c>
      <c r="J358" s="3" t="str">
        <f t="shared" si="5"/>
        <v>MATCH</v>
      </c>
    </row>
    <row r="359" spans="1:10" x14ac:dyDescent="0.25">
      <c r="A359" s="3" t="s">
        <v>518</v>
      </c>
      <c r="B359" s="4">
        <v>45353</v>
      </c>
      <c r="C359" s="3" t="s">
        <v>202</v>
      </c>
      <c r="D359" s="3" t="s">
        <v>38</v>
      </c>
      <c r="E359" s="3">
        <v>5</v>
      </c>
      <c r="F359" s="5">
        <v>1671.6</v>
      </c>
      <c r="G359" s="3" t="str">
        <f>_xlfn.XLOOKUP(Sales_Table[[#This Row],[ProductID]],Products!A:A,Products!C:C,)</f>
        <v>Sports</v>
      </c>
      <c r="H359" s="8">
        <f>VLOOKUP(D359,Products_Table[],4,FALSE)</f>
        <v>334.32</v>
      </c>
      <c r="I359" s="3" t="str">
        <f>VLOOKUP(C359,Customer_Table[],4,FALSE)</f>
        <v>India</v>
      </c>
      <c r="J359" s="3" t="str">
        <f t="shared" si="5"/>
        <v>MATCH</v>
      </c>
    </row>
    <row r="360" spans="1:10" x14ac:dyDescent="0.25">
      <c r="A360" s="3" t="s">
        <v>519</v>
      </c>
      <c r="B360" s="4">
        <v>45371</v>
      </c>
      <c r="C360" s="3" t="s">
        <v>113</v>
      </c>
      <c r="D360" s="3" t="s">
        <v>11</v>
      </c>
      <c r="E360" s="3">
        <v>2</v>
      </c>
      <c r="F360" s="5">
        <v>79.739999999999995</v>
      </c>
      <c r="G360" s="3" t="str">
        <f>_xlfn.XLOOKUP(Sales_Table[[#This Row],[ProductID]],Products!A:A,Products!C:C,)</f>
        <v>Sports</v>
      </c>
      <c r="H360" s="8">
        <f>VLOOKUP(D360,Products_Table[],4,FALSE)</f>
        <v>39.869999999999997</v>
      </c>
      <c r="I360" s="3" t="str">
        <f>VLOOKUP(C360,Customer_Table[],4,FALSE)</f>
        <v>India</v>
      </c>
      <c r="J360" s="3" t="str">
        <f t="shared" si="5"/>
        <v>MATCH</v>
      </c>
    </row>
    <row r="361" spans="1:10" x14ac:dyDescent="0.25">
      <c r="A361" s="3" t="s">
        <v>520</v>
      </c>
      <c r="B361" s="4">
        <v>45295</v>
      </c>
      <c r="C361" s="3" t="s">
        <v>302</v>
      </c>
      <c r="D361" s="3" t="s">
        <v>28</v>
      </c>
      <c r="E361" s="3">
        <v>5</v>
      </c>
      <c r="F361" s="5">
        <v>2261</v>
      </c>
      <c r="G361" s="3" t="str">
        <f>_xlfn.XLOOKUP(Sales_Table[[#This Row],[ProductID]],Products!A:A,Products!C:C,)</f>
        <v>Beauty</v>
      </c>
      <c r="H361" s="8">
        <f>VLOOKUP(D361,Products_Table[],4,FALSE)</f>
        <v>452.2</v>
      </c>
      <c r="I361" s="3" t="str">
        <f>VLOOKUP(C361,Customer_Table[],4,FALSE)</f>
        <v>United States</v>
      </c>
      <c r="J361" s="3" t="str">
        <f t="shared" si="5"/>
        <v>MATCH</v>
      </c>
    </row>
    <row r="362" spans="1:10" x14ac:dyDescent="0.25">
      <c r="A362" s="3">
        <f>COUNTA(Sales_Table[OrderID])</f>
        <v>360</v>
      </c>
      <c r="B362" s="4"/>
      <c r="E362" s="3">
        <f>SUM(Sales_Table[Quantity])</f>
        <v>1080</v>
      </c>
      <c r="F362" s="5">
        <f>SUM(Sales_Table[SalesAmount])</f>
        <v>249314.65000000014</v>
      </c>
      <c r="G362" s="3"/>
      <c r="H362" s="8"/>
      <c r="I362" s="3"/>
      <c r="J362" s="3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D15FD-DD13-4650-A800-CA1B28C8F277}">
  <dimension ref="A1:D41"/>
  <sheetViews>
    <sheetView workbookViewId="0">
      <selection activeCell="G12" sqref="G12"/>
    </sheetView>
  </sheetViews>
  <sheetFormatPr defaultRowHeight="15" x14ac:dyDescent="0.25"/>
  <cols>
    <col min="1" max="1" width="14.28515625" style="3" bestFit="1" customWidth="1"/>
    <col min="2" max="2" width="17.85546875" style="3" bestFit="1" customWidth="1"/>
    <col min="3" max="3" width="13.42578125" style="3" bestFit="1" customWidth="1"/>
    <col min="4" max="4" width="13.85546875" style="5" bestFit="1" customWidth="1"/>
  </cols>
  <sheetData>
    <row r="1" spans="1:4" x14ac:dyDescent="0.25">
      <c r="A1" s="2" t="s">
        <v>3</v>
      </c>
      <c r="B1" s="2" t="s">
        <v>521</v>
      </c>
      <c r="C1" s="2" t="s">
        <v>522</v>
      </c>
      <c r="D1" s="6" t="s">
        <v>523</v>
      </c>
    </row>
    <row r="2" spans="1:4" x14ac:dyDescent="0.25">
      <c r="A2" s="3" t="s">
        <v>136</v>
      </c>
      <c r="B2" s="3" t="s">
        <v>524</v>
      </c>
      <c r="C2" s="3" t="s">
        <v>525</v>
      </c>
      <c r="D2" s="5">
        <v>431.22</v>
      </c>
    </row>
    <row r="3" spans="1:4" x14ac:dyDescent="0.25">
      <c r="A3" s="3" t="s">
        <v>165</v>
      </c>
      <c r="B3" s="3" t="s">
        <v>526</v>
      </c>
      <c r="C3" s="3" t="s">
        <v>525</v>
      </c>
      <c r="D3" s="5">
        <v>261.94</v>
      </c>
    </row>
    <row r="4" spans="1:4" x14ac:dyDescent="0.25">
      <c r="A4" s="3" t="s">
        <v>132</v>
      </c>
      <c r="B4" s="3" t="s">
        <v>527</v>
      </c>
      <c r="C4" s="3" t="s">
        <v>528</v>
      </c>
      <c r="D4" s="5">
        <v>337.8</v>
      </c>
    </row>
    <row r="5" spans="1:4" x14ac:dyDescent="0.25">
      <c r="A5" s="3" t="s">
        <v>304</v>
      </c>
      <c r="B5" s="3" t="s">
        <v>529</v>
      </c>
      <c r="C5" s="3" t="s">
        <v>530</v>
      </c>
      <c r="D5" s="5">
        <v>274.22000000000003</v>
      </c>
    </row>
    <row r="6" spans="1:4" x14ac:dyDescent="0.25">
      <c r="A6" s="3" t="s">
        <v>35</v>
      </c>
      <c r="B6" s="3" t="s">
        <v>531</v>
      </c>
      <c r="C6" s="3" t="s">
        <v>532</v>
      </c>
      <c r="D6" s="5">
        <v>292.33999999999997</v>
      </c>
    </row>
    <row r="7" spans="1:4" x14ac:dyDescent="0.25">
      <c r="A7" s="3" t="s">
        <v>17</v>
      </c>
      <c r="B7" s="3" t="s">
        <v>533</v>
      </c>
      <c r="C7" s="3" t="s">
        <v>530</v>
      </c>
      <c r="D7" s="5">
        <v>394.46</v>
      </c>
    </row>
    <row r="8" spans="1:4" x14ac:dyDescent="0.25">
      <c r="A8" s="3" t="s">
        <v>23</v>
      </c>
      <c r="B8" s="3" t="s">
        <v>534</v>
      </c>
      <c r="C8" s="3" t="s">
        <v>535</v>
      </c>
      <c r="D8" s="5">
        <v>103.3</v>
      </c>
    </row>
    <row r="9" spans="1:4" x14ac:dyDescent="0.25">
      <c r="A9" s="3" t="s">
        <v>146</v>
      </c>
      <c r="B9" s="3" t="s">
        <v>536</v>
      </c>
      <c r="C9" s="3" t="s">
        <v>525</v>
      </c>
      <c r="D9" s="5">
        <v>332.9</v>
      </c>
    </row>
    <row r="10" spans="1:4" x14ac:dyDescent="0.25">
      <c r="A10" s="3" t="s">
        <v>178</v>
      </c>
      <c r="B10" s="3" t="s">
        <v>537</v>
      </c>
      <c r="C10" s="3" t="s">
        <v>528</v>
      </c>
      <c r="D10" s="5">
        <v>217.55</v>
      </c>
    </row>
    <row r="11" spans="1:4" x14ac:dyDescent="0.25">
      <c r="A11" s="3" t="s">
        <v>81</v>
      </c>
      <c r="B11" s="3" t="s">
        <v>538</v>
      </c>
      <c r="C11" s="3" t="s">
        <v>535</v>
      </c>
      <c r="D11" s="5">
        <v>433.28</v>
      </c>
    </row>
    <row r="12" spans="1:4" x14ac:dyDescent="0.25">
      <c r="A12" s="3" t="s">
        <v>148</v>
      </c>
      <c r="B12" s="3" t="s">
        <v>539</v>
      </c>
      <c r="C12" s="3" t="s">
        <v>525</v>
      </c>
      <c r="D12" s="5">
        <v>339.95</v>
      </c>
    </row>
    <row r="13" spans="1:4" x14ac:dyDescent="0.25">
      <c r="A13" s="3" t="s">
        <v>124</v>
      </c>
      <c r="B13" s="3" t="s">
        <v>540</v>
      </c>
      <c r="C13" s="3" t="s">
        <v>525</v>
      </c>
      <c r="D13" s="5">
        <v>39.700000000000003</v>
      </c>
    </row>
    <row r="14" spans="1:4" x14ac:dyDescent="0.25">
      <c r="A14" s="3" t="s">
        <v>68</v>
      </c>
      <c r="B14" s="3" t="s">
        <v>541</v>
      </c>
      <c r="C14" s="3" t="s">
        <v>528</v>
      </c>
      <c r="D14" s="5">
        <v>402.29</v>
      </c>
    </row>
    <row r="15" spans="1:4" x14ac:dyDescent="0.25">
      <c r="A15" s="3" t="s">
        <v>98</v>
      </c>
      <c r="B15" s="3" t="s">
        <v>542</v>
      </c>
      <c r="C15" s="3" t="s">
        <v>525</v>
      </c>
      <c r="D15" s="5">
        <v>131.84</v>
      </c>
    </row>
    <row r="16" spans="1:4" x14ac:dyDescent="0.25">
      <c r="A16" s="3" t="s">
        <v>44</v>
      </c>
      <c r="B16" s="3" t="s">
        <v>543</v>
      </c>
      <c r="C16" s="3" t="s">
        <v>530</v>
      </c>
      <c r="D16" s="5">
        <v>272.77999999999997</v>
      </c>
    </row>
    <row r="17" spans="1:4" x14ac:dyDescent="0.25">
      <c r="A17" s="3" t="s">
        <v>72</v>
      </c>
      <c r="B17" s="3" t="s">
        <v>544</v>
      </c>
      <c r="C17" s="3" t="s">
        <v>530</v>
      </c>
      <c r="D17" s="5">
        <v>216.72</v>
      </c>
    </row>
    <row r="18" spans="1:4" x14ac:dyDescent="0.25">
      <c r="A18" s="3" t="s">
        <v>14</v>
      </c>
      <c r="B18" s="3" t="s">
        <v>545</v>
      </c>
      <c r="C18" s="3" t="s">
        <v>528</v>
      </c>
      <c r="D18" s="5">
        <v>236.69</v>
      </c>
    </row>
    <row r="19" spans="1:4" x14ac:dyDescent="0.25">
      <c r="A19" s="3" t="s">
        <v>114</v>
      </c>
      <c r="B19" s="3" t="s">
        <v>546</v>
      </c>
      <c r="C19" s="3" t="s">
        <v>525</v>
      </c>
      <c r="D19" s="5">
        <v>227.13</v>
      </c>
    </row>
    <row r="20" spans="1:4" x14ac:dyDescent="0.25">
      <c r="A20" s="3" t="s">
        <v>63</v>
      </c>
      <c r="B20" s="3" t="s">
        <v>547</v>
      </c>
      <c r="C20" s="3" t="s">
        <v>532</v>
      </c>
      <c r="D20" s="5">
        <v>57.98</v>
      </c>
    </row>
    <row r="21" spans="1:4" x14ac:dyDescent="0.25">
      <c r="A21" s="3" t="s">
        <v>8</v>
      </c>
      <c r="B21" s="3" t="s">
        <v>548</v>
      </c>
      <c r="C21" s="3" t="s">
        <v>532</v>
      </c>
      <c r="D21" s="5">
        <v>419.65</v>
      </c>
    </row>
    <row r="22" spans="1:4" x14ac:dyDescent="0.25">
      <c r="A22" s="3" t="s">
        <v>225</v>
      </c>
      <c r="B22" s="3" t="s">
        <v>549</v>
      </c>
      <c r="C22" s="3" t="s">
        <v>525</v>
      </c>
      <c r="D22" s="5">
        <v>463.92</v>
      </c>
    </row>
    <row r="23" spans="1:4" x14ac:dyDescent="0.25">
      <c r="A23" s="3" t="s">
        <v>60</v>
      </c>
      <c r="B23" s="3" t="s">
        <v>550</v>
      </c>
      <c r="C23" s="3" t="s">
        <v>530</v>
      </c>
      <c r="D23" s="5">
        <v>91.49</v>
      </c>
    </row>
    <row r="24" spans="1:4" x14ac:dyDescent="0.25">
      <c r="A24" s="3" t="s">
        <v>196</v>
      </c>
      <c r="B24" s="3" t="s">
        <v>551</v>
      </c>
      <c r="C24" s="3" t="s">
        <v>535</v>
      </c>
      <c r="D24" s="5">
        <v>245.87</v>
      </c>
    </row>
    <row r="25" spans="1:4" x14ac:dyDescent="0.25">
      <c r="A25" s="3" t="s">
        <v>28</v>
      </c>
      <c r="B25" s="3" t="s">
        <v>552</v>
      </c>
      <c r="C25" s="3" t="s">
        <v>535</v>
      </c>
      <c r="D25" s="5">
        <v>452.2</v>
      </c>
    </row>
    <row r="26" spans="1:4" x14ac:dyDescent="0.25">
      <c r="A26" s="3" t="s">
        <v>260</v>
      </c>
      <c r="B26" s="3" t="s">
        <v>553</v>
      </c>
      <c r="C26" s="3" t="s">
        <v>530</v>
      </c>
      <c r="D26" s="5">
        <v>195.7</v>
      </c>
    </row>
    <row r="27" spans="1:4" x14ac:dyDescent="0.25">
      <c r="A27" s="3" t="s">
        <v>103</v>
      </c>
      <c r="B27" s="3" t="s">
        <v>554</v>
      </c>
      <c r="C27" s="3" t="s">
        <v>535</v>
      </c>
      <c r="D27" s="5">
        <v>139.94999999999999</v>
      </c>
    </row>
    <row r="28" spans="1:4" x14ac:dyDescent="0.25">
      <c r="A28" s="3" t="s">
        <v>26</v>
      </c>
      <c r="B28" s="3" t="s">
        <v>555</v>
      </c>
      <c r="C28" s="3" t="s">
        <v>535</v>
      </c>
      <c r="D28" s="5">
        <v>149.77000000000001</v>
      </c>
    </row>
    <row r="29" spans="1:4" x14ac:dyDescent="0.25">
      <c r="A29" s="3" t="s">
        <v>38</v>
      </c>
      <c r="B29" s="3" t="s">
        <v>556</v>
      </c>
      <c r="C29" s="3" t="s">
        <v>532</v>
      </c>
      <c r="D29" s="5">
        <v>334.32</v>
      </c>
    </row>
    <row r="30" spans="1:4" x14ac:dyDescent="0.25">
      <c r="A30" s="3" t="s">
        <v>52</v>
      </c>
      <c r="B30" s="3" t="s">
        <v>557</v>
      </c>
      <c r="C30" s="3" t="s">
        <v>535</v>
      </c>
      <c r="D30" s="5">
        <v>85.85</v>
      </c>
    </row>
    <row r="31" spans="1:4" x14ac:dyDescent="0.25">
      <c r="A31" s="3" t="s">
        <v>129</v>
      </c>
      <c r="B31" s="3" t="s">
        <v>558</v>
      </c>
      <c r="C31" s="3" t="s">
        <v>528</v>
      </c>
      <c r="D31" s="5">
        <v>116.67</v>
      </c>
    </row>
    <row r="32" spans="1:4" x14ac:dyDescent="0.25">
      <c r="A32" s="3" t="s">
        <v>49</v>
      </c>
      <c r="B32" s="3" t="s">
        <v>559</v>
      </c>
      <c r="C32" s="3" t="s">
        <v>525</v>
      </c>
      <c r="D32" s="5">
        <v>293.8</v>
      </c>
    </row>
    <row r="33" spans="1:4" x14ac:dyDescent="0.25">
      <c r="A33" s="3" t="s">
        <v>11</v>
      </c>
      <c r="B33" s="3" t="s">
        <v>560</v>
      </c>
      <c r="C33" s="3" t="s">
        <v>532</v>
      </c>
      <c r="D33" s="5">
        <v>39.869999999999997</v>
      </c>
    </row>
    <row r="34" spans="1:4" x14ac:dyDescent="0.25">
      <c r="A34" s="3" t="s">
        <v>41</v>
      </c>
      <c r="B34" s="3" t="s">
        <v>561</v>
      </c>
      <c r="C34" s="3" t="s">
        <v>528</v>
      </c>
      <c r="D34" s="5">
        <v>38.01</v>
      </c>
    </row>
    <row r="35" spans="1:4" x14ac:dyDescent="0.25">
      <c r="A35" s="3" t="s">
        <v>231</v>
      </c>
      <c r="B35" s="3" t="s">
        <v>562</v>
      </c>
      <c r="C35" s="3" t="s">
        <v>532</v>
      </c>
      <c r="D35" s="5">
        <v>243.63</v>
      </c>
    </row>
    <row r="36" spans="1:4" x14ac:dyDescent="0.25">
      <c r="A36" s="3" t="s">
        <v>122</v>
      </c>
      <c r="B36" s="3" t="s">
        <v>563</v>
      </c>
      <c r="C36" s="3" t="s">
        <v>532</v>
      </c>
      <c r="D36" s="5">
        <v>87.14</v>
      </c>
    </row>
    <row r="37" spans="1:4" x14ac:dyDescent="0.25">
      <c r="A37" s="3" t="s">
        <v>108</v>
      </c>
      <c r="B37" s="3" t="s">
        <v>564</v>
      </c>
      <c r="C37" s="3" t="s">
        <v>532</v>
      </c>
      <c r="D37" s="5">
        <v>49.25</v>
      </c>
    </row>
    <row r="38" spans="1:4" x14ac:dyDescent="0.25">
      <c r="A38" s="3" t="s">
        <v>160</v>
      </c>
      <c r="B38" s="3" t="s">
        <v>565</v>
      </c>
      <c r="C38" s="3" t="s">
        <v>530</v>
      </c>
      <c r="D38" s="5">
        <v>43.58</v>
      </c>
    </row>
    <row r="39" spans="1:4" x14ac:dyDescent="0.25">
      <c r="A39" s="3" t="s">
        <v>152</v>
      </c>
      <c r="B39" s="3" t="s">
        <v>566</v>
      </c>
      <c r="C39" s="3" t="s">
        <v>525</v>
      </c>
      <c r="D39" s="5">
        <v>340.85</v>
      </c>
    </row>
    <row r="40" spans="1:4" x14ac:dyDescent="0.25">
      <c r="A40" s="3" t="s">
        <v>20</v>
      </c>
      <c r="B40" s="3" t="s">
        <v>567</v>
      </c>
      <c r="C40" s="3" t="s">
        <v>530</v>
      </c>
      <c r="D40" s="5">
        <v>207.85</v>
      </c>
    </row>
    <row r="41" spans="1:4" x14ac:dyDescent="0.25">
      <c r="A41" s="3" t="s">
        <v>55</v>
      </c>
      <c r="B41" s="3" t="s">
        <v>568</v>
      </c>
      <c r="C41" s="3" t="s">
        <v>532</v>
      </c>
      <c r="D41" s="5">
        <v>130.65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76A19-B03F-4CA2-8C24-06C2088ECD4A}">
  <dimension ref="A1:E121"/>
  <sheetViews>
    <sheetView workbookViewId="0">
      <selection activeCell="I15" sqref="I15"/>
    </sheetView>
  </sheetViews>
  <sheetFormatPr defaultRowHeight="15" x14ac:dyDescent="0.25"/>
  <cols>
    <col min="1" max="1" width="16" bestFit="1" customWidth="1"/>
    <col min="2" max="2" width="19.5703125" bestFit="1" customWidth="1"/>
    <col min="3" max="3" width="23.85546875" bestFit="1" customWidth="1"/>
    <col min="4" max="4" width="15.140625" bestFit="1" customWidth="1"/>
    <col min="5" max="5" width="15.7109375" bestFit="1" customWidth="1"/>
  </cols>
  <sheetData>
    <row r="1" spans="1:5" x14ac:dyDescent="0.25">
      <c r="A1" s="2" t="s">
        <v>2</v>
      </c>
      <c r="B1" s="2" t="s">
        <v>569</v>
      </c>
      <c r="C1" s="2" t="s">
        <v>570</v>
      </c>
      <c r="D1" s="2" t="s">
        <v>571</v>
      </c>
      <c r="E1" s="2" t="s">
        <v>572</v>
      </c>
    </row>
    <row r="2" spans="1:5" x14ac:dyDescent="0.25">
      <c r="A2" t="s">
        <v>74</v>
      </c>
      <c r="B2" t="s">
        <v>573</v>
      </c>
      <c r="C2" t="s">
        <v>574</v>
      </c>
      <c r="D2" t="s">
        <v>575</v>
      </c>
      <c r="E2" s="1">
        <v>44984</v>
      </c>
    </row>
    <row r="3" spans="1:5" x14ac:dyDescent="0.25">
      <c r="A3" t="s">
        <v>89</v>
      </c>
      <c r="B3" t="s">
        <v>576</v>
      </c>
      <c r="C3" t="s">
        <v>577</v>
      </c>
      <c r="D3" t="s">
        <v>580</v>
      </c>
      <c r="E3" s="1">
        <v>45067</v>
      </c>
    </row>
    <row r="4" spans="1:5" x14ac:dyDescent="0.25">
      <c r="A4" t="s">
        <v>170</v>
      </c>
      <c r="B4" t="s">
        <v>578</v>
      </c>
      <c r="C4" t="s">
        <v>579</v>
      </c>
      <c r="D4" t="s">
        <v>580</v>
      </c>
      <c r="E4" s="1">
        <v>45041</v>
      </c>
    </row>
    <row r="5" spans="1:5" x14ac:dyDescent="0.25">
      <c r="A5" t="s">
        <v>410</v>
      </c>
      <c r="B5" t="s">
        <v>581</v>
      </c>
      <c r="C5" t="s">
        <v>582</v>
      </c>
      <c r="D5" t="s">
        <v>580</v>
      </c>
      <c r="E5" s="1">
        <v>44979</v>
      </c>
    </row>
    <row r="6" spans="1:5" x14ac:dyDescent="0.25">
      <c r="A6" t="s">
        <v>135</v>
      </c>
      <c r="B6" t="s">
        <v>583</v>
      </c>
      <c r="C6" t="s">
        <v>584</v>
      </c>
      <c r="D6" t="s">
        <v>575</v>
      </c>
      <c r="E6" s="1">
        <v>45206</v>
      </c>
    </row>
    <row r="7" spans="1:5" x14ac:dyDescent="0.25">
      <c r="A7" t="s">
        <v>30</v>
      </c>
      <c r="B7" t="s">
        <v>585</v>
      </c>
      <c r="C7" t="s">
        <v>586</v>
      </c>
      <c r="D7" t="s">
        <v>580</v>
      </c>
      <c r="E7" s="1">
        <v>45229</v>
      </c>
    </row>
    <row r="8" spans="1:5" x14ac:dyDescent="0.25">
      <c r="A8" t="s">
        <v>587</v>
      </c>
      <c r="B8" t="s">
        <v>588</v>
      </c>
      <c r="C8" t="s">
        <v>589</v>
      </c>
      <c r="D8" t="s">
        <v>590</v>
      </c>
      <c r="E8" s="1">
        <v>44943</v>
      </c>
    </row>
    <row r="9" spans="1:5" x14ac:dyDescent="0.25">
      <c r="A9" t="s">
        <v>245</v>
      </c>
      <c r="B9" t="s">
        <v>591</v>
      </c>
      <c r="C9" t="s">
        <v>592</v>
      </c>
      <c r="D9" t="s">
        <v>580</v>
      </c>
      <c r="E9" s="1">
        <v>44974</v>
      </c>
    </row>
    <row r="10" spans="1:5" x14ac:dyDescent="0.25">
      <c r="A10" t="s">
        <v>229</v>
      </c>
      <c r="B10" t="s">
        <v>593</v>
      </c>
      <c r="C10" t="s">
        <v>594</v>
      </c>
      <c r="D10" t="s">
        <v>580</v>
      </c>
      <c r="E10" s="1">
        <v>45046</v>
      </c>
    </row>
    <row r="11" spans="1:5" x14ac:dyDescent="0.25">
      <c r="A11" t="s">
        <v>206</v>
      </c>
      <c r="B11" t="s">
        <v>595</v>
      </c>
      <c r="C11" t="s">
        <v>596</v>
      </c>
      <c r="D11" t="s">
        <v>597</v>
      </c>
      <c r="E11" s="1">
        <v>45235</v>
      </c>
    </row>
    <row r="12" spans="1:5" x14ac:dyDescent="0.25">
      <c r="A12" t="s">
        <v>280</v>
      </c>
      <c r="B12" t="s">
        <v>598</v>
      </c>
      <c r="C12" t="s">
        <v>599</v>
      </c>
      <c r="D12" t="s">
        <v>580</v>
      </c>
      <c r="E12" s="1">
        <v>45214</v>
      </c>
    </row>
    <row r="13" spans="1:5" x14ac:dyDescent="0.25">
      <c r="A13" t="s">
        <v>150</v>
      </c>
      <c r="B13" t="s">
        <v>600</v>
      </c>
      <c r="C13" t="s">
        <v>601</v>
      </c>
      <c r="D13" t="s">
        <v>580</v>
      </c>
      <c r="E13" s="1">
        <v>45259</v>
      </c>
    </row>
    <row r="14" spans="1:5" x14ac:dyDescent="0.25">
      <c r="A14" t="s">
        <v>467</v>
      </c>
      <c r="B14" t="s">
        <v>602</v>
      </c>
      <c r="C14" t="s">
        <v>603</v>
      </c>
      <c r="D14" t="s">
        <v>575</v>
      </c>
      <c r="E14" s="1">
        <v>45206</v>
      </c>
    </row>
    <row r="15" spans="1:5" x14ac:dyDescent="0.25">
      <c r="A15" t="s">
        <v>97</v>
      </c>
      <c r="B15" t="s">
        <v>604</v>
      </c>
      <c r="C15" t="s">
        <v>605</v>
      </c>
      <c r="D15" t="s">
        <v>590</v>
      </c>
      <c r="E15" s="1">
        <v>45039</v>
      </c>
    </row>
    <row r="16" spans="1:5" x14ac:dyDescent="0.25">
      <c r="A16" t="s">
        <v>241</v>
      </c>
      <c r="B16" t="s">
        <v>606</v>
      </c>
      <c r="C16" t="s">
        <v>607</v>
      </c>
      <c r="D16" t="s">
        <v>590</v>
      </c>
      <c r="E16" s="1">
        <v>45228</v>
      </c>
    </row>
    <row r="17" spans="1:5" x14ac:dyDescent="0.25">
      <c r="A17" t="s">
        <v>295</v>
      </c>
      <c r="B17" t="s">
        <v>608</v>
      </c>
      <c r="C17" t="s">
        <v>609</v>
      </c>
      <c r="D17" t="s">
        <v>590</v>
      </c>
      <c r="E17" s="1">
        <v>44930</v>
      </c>
    </row>
    <row r="18" spans="1:5" x14ac:dyDescent="0.25">
      <c r="A18" t="s">
        <v>442</v>
      </c>
      <c r="B18" t="s">
        <v>610</v>
      </c>
      <c r="C18" t="s">
        <v>611</v>
      </c>
      <c r="D18" t="s">
        <v>580</v>
      </c>
      <c r="E18" s="1">
        <v>45284</v>
      </c>
    </row>
    <row r="19" spans="1:5" x14ac:dyDescent="0.25">
      <c r="A19" t="s">
        <v>19</v>
      </c>
      <c r="B19" t="s">
        <v>612</v>
      </c>
      <c r="C19" t="s">
        <v>613</v>
      </c>
      <c r="D19" t="s">
        <v>590</v>
      </c>
      <c r="E19" s="1">
        <v>45101</v>
      </c>
    </row>
    <row r="20" spans="1:5" x14ac:dyDescent="0.25">
      <c r="A20" t="s">
        <v>283</v>
      </c>
      <c r="B20" t="s">
        <v>614</v>
      </c>
      <c r="C20" t="s">
        <v>615</v>
      </c>
      <c r="D20" t="s">
        <v>590</v>
      </c>
      <c r="E20" s="1">
        <v>45006</v>
      </c>
    </row>
    <row r="21" spans="1:5" x14ac:dyDescent="0.25">
      <c r="A21" t="s">
        <v>269</v>
      </c>
      <c r="B21" t="s">
        <v>616</v>
      </c>
      <c r="C21" t="s">
        <v>617</v>
      </c>
      <c r="D21" t="s">
        <v>580</v>
      </c>
      <c r="E21" s="1">
        <v>45099</v>
      </c>
    </row>
    <row r="22" spans="1:5" x14ac:dyDescent="0.25">
      <c r="A22" t="s">
        <v>32</v>
      </c>
      <c r="B22" t="s">
        <v>618</v>
      </c>
      <c r="C22" t="s">
        <v>619</v>
      </c>
      <c r="D22" t="s">
        <v>580</v>
      </c>
      <c r="E22" s="1">
        <v>44974</v>
      </c>
    </row>
    <row r="23" spans="1:5" x14ac:dyDescent="0.25">
      <c r="A23" t="s">
        <v>323</v>
      </c>
      <c r="B23" t="s">
        <v>620</v>
      </c>
      <c r="C23" t="s">
        <v>621</v>
      </c>
      <c r="D23" t="s">
        <v>590</v>
      </c>
      <c r="E23" s="1">
        <v>44976</v>
      </c>
    </row>
    <row r="24" spans="1:5" x14ac:dyDescent="0.25">
      <c r="A24" t="s">
        <v>310</v>
      </c>
      <c r="B24" t="s">
        <v>622</v>
      </c>
      <c r="C24" t="s">
        <v>623</v>
      </c>
      <c r="D24" t="s">
        <v>590</v>
      </c>
      <c r="E24" s="1">
        <v>45103</v>
      </c>
    </row>
    <row r="25" spans="1:5" x14ac:dyDescent="0.25">
      <c r="A25" t="s">
        <v>346</v>
      </c>
      <c r="B25" t="s">
        <v>624</v>
      </c>
      <c r="C25" t="s">
        <v>625</v>
      </c>
      <c r="D25" t="s">
        <v>597</v>
      </c>
      <c r="E25" s="1">
        <v>45062</v>
      </c>
    </row>
    <row r="26" spans="1:5" x14ac:dyDescent="0.25">
      <c r="A26" t="s">
        <v>40</v>
      </c>
      <c r="B26" t="s">
        <v>626</v>
      </c>
      <c r="C26" t="s">
        <v>627</v>
      </c>
      <c r="D26" t="s">
        <v>580</v>
      </c>
      <c r="E26" s="1">
        <v>45162</v>
      </c>
    </row>
    <row r="27" spans="1:5" x14ac:dyDescent="0.25">
      <c r="A27" t="s">
        <v>249</v>
      </c>
      <c r="B27" t="s">
        <v>628</v>
      </c>
      <c r="C27" t="s">
        <v>629</v>
      </c>
      <c r="D27" t="s">
        <v>597</v>
      </c>
      <c r="E27" s="1">
        <v>44990</v>
      </c>
    </row>
    <row r="28" spans="1:5" x14ac:dyDescent="0.25">
      <c r="A28" t="s">
        <v>70</v>
      </c>
      <c r="B28" t="s">
        <v>630</v>
      </c>
      <c r="C28" t="s">
        <v>631</v>
      </c>
      <c r="D28" t="s">
        <v>590</v>
      </c>
      <c r="E28" s="1">
        <v>44967</v>
      </c>
    </row>
    <row r="29" spans="1:5" x14ac:dyDescent="0.25">
      <c r="A29" t="s">
        <v>632</v>
      </c>
      <c r="B29" t="s">
        <v>633</v>
      </c>
      <c r="C29" t="s">
        <v>634</v>
      </c>
      <c r="D29" t="s">
        <v>597</v>
      </c>
      <c r="E29" s="1">
        <v>45077</v>
      </c>
    </row>
    <row r="30" spans="1:5" x14ac:dyDescent="0.25">
      <c r="A30" t="s">
        <v>243</v>
      </c>
      <c r="B30" t="s">
        <v>635</v>
      </c>
      <c r="C30" t="s">
        <v>636</v>
      </c>
      <c r="D30" t="s">
        <v>575</v>
      </c>
      <c r="E30" s="1">
        <v>45243</v>
      </c>
    </row>
    <row r="31" spans="1:5" x14ac:dyDescent="0.25">
      <c r="A31" t="s">
        <v>139</v>
      </c>
      <c r="B31" t="s">
        <v>637</v>
      </c>
      <c r="C31" t="s">
        <v>638</v>
      </c>
      <c r="D31" t="s">
        <v>590</v>
      </c>
      <c r="E31" s="1">
        <v>45222</v>
      </c>
    </row>
    <row r="32" spans="1:5" x14ac:dyDescent="0.25">
      <c r="A32" t="s">
        <v>87</v>
      </c>
      <c r="B32" t="s">
        <v>639</v>
      </c>
      <c r="C32" t="s">
        <v>640</v>
      </c>
      <c r="D32" t="s">
        <v>580</v>
      </c>
      <c r="E32" s="1">
        <v>45287</v>
      </c>
    </row>
    <row r="33" spans="1:5" x14ac:dyDescent="0.25">
      <c r="A33" t="s">
        <v>195</v>
      </c>
      <c r="B33" t="s">
        <v>641</v>
      </c>
      <c r="C33" t="s">
        <v>642</v>
      </c>
      <c r="D33" t="s">
        <v>580</v>
      </c>
      <c r="E33" s="1">
        <v>44950</v>
      </c>
    </row>
    <row r="34" spans="1:5" x14ac:dyDescent="0.25">
      <c r="A34" t="s">
        <v>422</v>
      </c>
      <c r="B34" t="s">
        <v>643</v>
      </c>
      <c r="C34" t="s">
        <v>644</v>
      </c>
      <c r="D34" t="s">
        <v>575</v>
      </c>
      <c r="E34" s="1">
        <v>45043</v>
      </c>
    </row>
    <row r="35" spans="1:5" x14ac:dyDescent="0.25">
      <c r="A35" t="s">
        <v>78</v>
      </c>
      <c r="B35" t="s">
        <v>645</v>
      </c>
      <c r="C35" t="s">
        <v>646</v>
      </c>
      <c r="D35" t="s">
        <v>590</v>
      </c>
      <c r="E35" s="1">
        <v>44967</v>
      </c>
    </row>
    <row r="36" spans="1:5" x14ac:dyDescent="0.25">
      <c r="A36" t="s">
        <v>176</v>
      </c>
      <c r="B36" t="s">
        <v>647</v>
      </c>
      <c r="C36" t="s">
        <v>648</v>
      </c>
      <c r="D36" t="s">
        <v>580</v>
      </c>
      <c r="E36" s="1">
        <v>44978</v>
      </c>
    </row>
    <row r="37" spans="1:5" x14ac:dyDescent="0.25">
      <c r="A37" t="s">
        <v>211</v>
      </c>
      <c r="B37" t="s">
        <v>649</v>
      </c>
      <c r="C37" t="s">
        <v>650</v>
      </c>
      <c r="D37" t="s">
        <v>590</v>
      </c>
      <c r="E37" s="1">
        <v>45069</v>
      </c>
    </row>
    <row r="38" spans="1:5" x14ac:dyDescent="0.25">
      <c r="A38" t="s">
        <v>651</v>
      </c>
      <c r="B38" t="s">
        <v>652</v>
      </c>
      <c r="C38" t="s">
        <v>653</v>
      </c>
      <c r="D38" t="s">
        <v>590</v>
      </c>
      <c r="E38" s="1">
        <v>45252</v>
      </c>
    </row>
    <row r="39" spans="1:5" x14ac:dyDescent="0.25">
      <c r="A39" t="s">
        <v>22</v>
      </c>
      <c r="B39" t="s">
        <v>654</v>
      </c>
      <c r="C39" t="s">
        <v>655</v>
      </c>
      <c r="D39" t="s">
        <v>590</v>
      </c>
      <c r="E39" s="1">
        <v>45010</v>
      </c>
    </row>
    <row r="40" spans="1:5" x14ac:dyDescent="0.25">
      <c r="A40" t="s">
        <v>377</v>
      </c>
      <c r="B40" t="s">
        <v>656</v>
      </c>
      <c r="C40" t="s">
        <v>657</v>
      </c>
      <c r="D40" t="s">
        <v>590</v>
      </c>
      <c r="E40" s="1">
        <v>45108</v>
      </c>
    </row>
    <row r="41" spans="1:5" x14ac:dyDescent="0.25">
      <c r="A41" t="s">
        <v>358</v>
      </c>
      <c r="B41" t="s">
        <v>658</v>
      </c>
      <c r="C41" t="s">
        <v>659</v>
      </c>
      <c r="D41" t="s">
        <v>580</v>
      </c>
      <c r="E41" s="1">
        <v>45270</v>
      </c>
    </row>
    <row r="42" spans="1:5" x14ac:dyDescent="0.25">
      <c r="A42" t="s">
        <v>34</v>
      </c>
      <c r="B42" t="s">
        <v>660</v>
      </c>
      <c r="C42" t="s">
        <v>661</v>
      </c>
      <c r="D42" t="s">
        <v>590</v>
      </c>
      <c r="E42" s="1">
        <v>45286</v>
      </c>
    </row>
    <row r="43" spans="1:5" x14ac:dyDescent="0.25">
      <c r="A43" t="s">
        <v>126</v>
      </c>
      <c r="B43" t="s">
        <v>662</v>
      </c>
      <c r="C43" t="s">
        <v>663</v>
      </c>
      <c r="D43" t="s">
        <v>575</v>
      </c>
      <c r="E43" s="1">
        <v>45258</v>
      </c>
    </row>
    <row r="44" spans="1:5" x14ac:dyDescent="0.25">
      <c r="A44" t="s">
        <v>46</v>
      </c>
      <c r="B44" t="s">
        <v>664</v>
      </c>
      <c r="C44" t="s">
        <v>665</v>
      </c>
      <c r="D44" t="s">
        <v>580</v>
      </c>
      <c r="E44" s="1">
        <v>45238</v>
      </c>
    </row>
    <row r="45" spans="1:5" x14ac:dyDescent="0.25">
      <c r="A45" t="s">
        <v>367</v>
      </c>
      <c r="B45" t="s">
        <v>666</v>
      </c>
      <c r="C45" t="s">
        <v>667</v>
      </c>
      <c r="D45" t="s">
        <v>575</v>
      </c>
      <c r="E45" s="1">
        <v>45014</v>
      </c>
    </row>
    <row r="46" spans="1:5" x14ac:dyDescent="0.25">
      <c r="A46" t="s">
        <v>258</v>
      </c>
      <c r="B46" t="s">
        <v>668</v>
      </c>
      <c r="C46" t="s">
        <v>669</v>
      </c>
      <c r="D46" t="s">
        <v>597</v>
      </c>
      <c r="E46" s="1">
        <v>45052</v>
      </c>
    </row>
    <row r="47" spans="1:5" x14ac:dyDescent="0.25">
      <c r="A47" t="s">
        <v>214</v>
      </c>
      <c r="B47" t="s">
        <v>670</v>
      </c>
      <c r="C47" t="s">
        <v>671</v>
      </c>
      <c r="D47" t="s">
        <v>580</v>
      </c>
      <c r="E47" s="1">
        <v>45163</v>
      </c>
    </row>
    <row r="48" spans="1:5" x14ac:dyDescent="0.25">
      <c r="A48" t="s">
        <v>235</v>
      </c>
      <c r="B48" t="s">
        <v>672</v>
      </c>
      <c r="C48" t="s">
        <v>673</v>
      </c>
      <c r="D48" t="s">
        <v>590</v>
      </c>
      <c r="E48" s="1">
        <v>45065</v>
      </c>
    </row>
    <row r="49" spans="1:5" x14ac:dyDescent="0.25">
      <c r="A49" t="s">
        <v>202</v>
      </c>
      <c r="B49" t="s">
        <v>674</v>
      </c>
      <c r="C49" t="s">
        <v>675</v>
      </c>
      <c r="D49" t="s">
        <v>575</v>
      </c>
      <c r="E49" s="1">
        <v>45279</v>
      </c>
    </row>
    <row r="50" spans="1:5" x14ac:dyDescent="0.25">
      <c r="A50" t="s">
        <v>48</v>
      </c>
      <c r="B50" t="s">
        <v>676</v>
      </c>
      <c r="C50" t="s">
        <v>677</v>
      </c>
      <c r="D50" t="s">
        <v>597</v>
      </c>
      <c r="E50" s="1">
        <v>45039</v>
      </c>
    </row>
    <row r="51" spans="1:5" x14ac:dyDescent="0.25">
      <c r="A51" t="s">
        <v>113</v>
      </c>
      <c r="B51" t="s">
        <v>678</v>
      </c>
      <c r="C51" t="s">
        <v>679</v>
      </c>
      <c r="D51" t="s">
        <v>575</v>
      </c>
      <c r="E51" s="1">
        <v>45093</v>
      </c>
    </row>
    <row r="52" spans="1:5" x14ac:dyDescent="0.25">
      <c r="A52" t="s">
        <v>312</v>
      </c>
      <c r="B52" t="s">
        <v>680</v>
      </c>
      <c r="C52" t="s">
        <v>681</v>
      </c>
      <c r="D52" t="s">
        <v>580</v>
      </c>
      <c r="E52" s="1">
        <v>45044</v>
      </c>
    </row>
    <row r="53" spans="1:5" x14ac:dyDescent="0.25">
      <c r="A53" t="s">
        <v>514</v>
      </c>
      <c r="B53" t="s">
        <v>682</v>
      </c>
      <c r="C53" t="s">
        <v>683</v>
      </c>
      <c r="D53" t="s">
        <v>580</v>
      </c>
      <c r="E53" s="1">
        <v>45088</v>
      </c>
    </row>
    <row r="54" spans="1:5" x14ac:dyDescent="0.25">
      <c r="A54" t="s">
        <v>43</v>
      </c>
      <c r="B54" t="s">
        <v>684</v>
      </c>
      <c r="C54" t="s">
        <v>685</v>
      </c>
      <c r="D54" t="s">
        <v>590</v>
      </c>
      <c r="E54" s="1">
        <v>45064</v>
      </c>
    </row>
    <row r="55" spans="1:5" x14ac:dyDescent="0.25">
      <c r="A55" t="s">
        <v>431</v>
      </c>
      <c r="B55" t="s">
        <v>686</v>
      </c>
      <c r="C55" t="s">
        <v>687</v>
      </c>
      <c r="D55" t="s">
        <v>580</v>
      </c>
      <c r="E55" s="1">
        <v>45035</v>
      </c>
    </row>
    <row r="56" spans="1:5" x14ac:dyDescent="0.25">
      <c r="A56" t="s">
        <v>439</v>
      </c>
      <c r="B56" t="s">
        <v>688</v>
      </c>
      <c r="C56" t="s">
        <v>689</v>
      </c>
      <c r="D56" t="s">
        <v>597</v>
      </c>
      <c r="E56" s="1">
        <v>45088</v>
      </c>
    </row>
    <row r="57" spans="1:5" x14ac:dyDescent="0.25">
      <c r="A57" t="s">
        <v>76</v>
      </c>
      <c r="B57" t="s">
        <v>690</v>
      </c>
      <c r="C57" t="s">
        <v>691</v>
      </c>
      <c r="D57" t="s">
        <v>580</v>
      </c>
      <c r="E57" s="1">
        <v>45262</v>
      </c>
    </row>
    <row r="58" spans="1:5" x14ac:dyDescent="0.25">
      <c r="A58" t="s">
        <v>692</v>
      </c>
      <c r="B58" t="s">
        <v>693</v>
      </c>
      <c r="C58" t="s">
        <v>694</v>
      </c>
      <c r="D58" t="s">
        <v>590</v>
      </c>
      <c r="E58" s="1">
        <v>45129</v>
      </c>
    </row>
    <row r="59" spans="1:5" x14ac:dyDescent="0.25">
      <c r="A59" t="s">
        <v>255</v>
      </c>
      <c r="B59" t="s">
        <v>695</v>
      </c>
      <c r="C59" t="s">
        <v>696</v>
      </c>
      <c r="D59" t="s">
        <v>575</v>
      </c>
      <c r="E59" s="1">
        <v>45161</v>
      </c>
    </row>
    <row r="60" spans="1:5" x14ac:dyDescent="0.25">
      <c r="A60" t="s">
        <v>111</v>
      </c>
      <c r="B60" t="s">
        <v>697</v>
      </c>
      <c r="C60" t="s">
        <v>698</v>
      </c>
      <c r="D60" t="s">
        <v>580</v>
      </c>
      <c r="E60" s="1">
        <v>45062</v>
      </c>
    </row>
    <row r="61" spans="1:5" x14ac:dyDescent="0.25">
      <c r="A61" t="s">
        <v>25</v>
      </c>
      <c r="B61" t="s">
        <v>699</v>
      </c>
      <c r="C61" t="s">
        <v>700</v>
      </c>
      <c r="D61" t="s">
        <v>580</v>
      </c>
      <c r="E61" s="1">
        <v>45053</v>
      </c>
    </row>
    <row r="62" spans="1:5" x14ac:dyDescent="0.25">
      <c r="A62" t="s">
        <v>65</v>
      </c>
      <c r="B62" t="s">
        <v>701</v>
      </c>
      <c r="C62" t="s">
        <v>702</v>
      </c>
      <c r="D62" t="s">
        <v>575</v>
      </c>
      <c r="E62" s="1">
        <v>45214</v>
      </c>
    </row>
    <row r="63" spans="1:5" x14ac:dyDescent="0.25">
      <c r="A63" t="s">
        <v>174</v>
      </c>
      <c r="B63" t="s">
        <v>703</v>
      </c>
      <c r="C63" t="s">
        <v>704</v>
      </c>
      <c r="D63" t="s">
        <v>597</v>
      </c>
      <c r="E63" s="1">
        <v>45061</v>
      </c>
    </row>
    <row r="64" spans="1:5" x14ac:dyDescent="0.25">
      <c r="A64" t="s">
        <v>209</v>
      </c>
      <c r="B64" t="s">
        <v>705</v>
      </c>
      <c r="C64" t="s">
        <v>706</v>
      </c>
      <c r="D64" t="s">
        <v>575</v>
      </c>
      <c r="E64" s="1">
        <v>45226</v>
      </c>
    </row>
    <row r="65" spans="1:5" x14ac:dyDescent="0.25">
      <c r="A65" t="s">
        <v>218</v>
      </c>
      <c r="B65" t="s">
        <v>707</v>
      </c>
      <c r="C65" t="s">
        <v>708</v>
      </c>
      <c r="D65" t="s">
        <v>590</v>
      </c>
      <c r="E65" s="1">
        <v>45225</v>
      </c>
    </row>
    <row r="66" spans="1:5" x14ac:dyDescent="0.25">
      <c r="A66" t="s">
        <v>709</v>
      </c>
      <c r="B66" t="s">
        <v>710</v>
      </c>
      <c r="C66" t="s">
        <v>711</v>
      </c>
      <c r="D66" t="s">
        <v>590</v>
      </c>
      <c r="E66" s="1">
        <v>45112</v>
      </c>
    </row>
    <row r="67" spans="1:5" x14ac:dyDescent="0.25">
      <c r="A67" t="s">
        <v>145</v>
      </c>
      <c r="B67" t="s">
        <v>712</v>
      </c>
      <c r="C67" t="s">
        <v>713</v>
      </c>
      <c r="D67" t="s">
        <v>580</v>
      </c>
      <c r="E67" s="1">
        <v>44997</v>
      </c>
    </row>
    <row r="68" spans="1:5" x14ac:dyDescent="0.25">
      <c r="A68" t="s">
        <v>264</v>
      </c>
      <c r="B68" t="s">
        <v>714</v>
      </c>
      <c r="C68" t="s">
        <v>715</v>
      </c>
      <c r="D68" t="s">
        <v>597</v>
      </c>
      <c r="E68" s="1">
        <v>45179</v>
      </c>
    </row>
    <row r="69" spans="1:5" x14ac:dyDescent="0.25">
      <c r="A69" t="s">
        <v>334</v>
      </c>
      <c r="B69" t="s">
        <v>716</v>
      </c>
      <c r="C69" t="s">
        <v>717</v>
      </c>
      <c r="D69" t="s">
        <v>580</v>
      </c>
      <c r="E69" s="1">
        <v>44951</v>
      </c>
    </row>
    <row r="70" spans="1:5" x14ac:dyDescent="0.25">
      <c r="A70" t="s">
        <v>198</v>
      </c>
      <c r="B70" t="s">
        <v>718</v>
      </c>
      <c r="C70" t="s">
        <v>719</v>
      </c>
      <c r="D70" t="s">
        <v>580</v>
      </c>
      <c r="E70" s="1">
        <v>45005</v>
      </c>
    </row>
    <row r="71" spans="1:5" x14ac:dyDescent="0.25">
      <c r="A71" t="s">
        <v>384</v>
      </c>
      <c r="B71" t="s">
        <v>720</v>
      </c>
      <c r="C71" t="s">
        <v>721</v>
      </c>
      <c r="D71" t="s">
        <v>575</v>
      </c>
      <c r="E71" s="1">
        <v>45008</v>
      </c>
    </row>
    <row r="72" spans="1:5" x14ac:dyDescent="0.25">
      <c r="A72" t="s">
        <v>54</v>
      </c>
      <c r="B72" t="s">
        <v>722</v>
      </c>
      <c r="C72" t="s">
        <v>723</v>
      </c>
      <c r="D72" t="s">
        <v>575</v>
      </c>
      <c r="E72" s="1">
        <v>45143</v>
      </c>
    </row>
    <row r="73" spans="1:5" x14ac:dyDescent="0.25">
      <c r="A73" t="s">
        <v>289</v>
      </c>
      <c r="B73" t="s">
        <v>724</v>
      </c>
      <c r="C73" t="s">
        <v>725</v>
      </c>
      <c r="D73" t="s">
        <v>597</v>
      </c>
      <c r="E73" s="1">
        <v>44959</v>
      </c>
    </row>
    <row r="74" spans="1:5" x14ac:dyDescent="0.25">
      <c r="A74" t="s">
        <v>93</v>
      </c>
      <c r="B74" t="s">
        <v>726</v>
      </c>
      <c r="C74" t="s">
        <v>727</v>
      </c>
      <c r="D74" t="s">
        <v>590</v>
      </c>
      <c r="E74" s="1">
        <v>45122</v>
      </c>
    </row>
    <row r="75" spans="1:5" x14ac:dyDescent="0.25">
      <c r="A75" t="s">
        <v>307</v>
      </c>
      <c r="B75" t="s">
        <v>728</v>
      </c>
      <c r="C75" t="s">
        <v>729</v>
      </c>
      <c r="D75" t="s">
        <v>597</v>
      </c>
      <c r="E75" s="1">
        <v>45166</v>
      </c>
    </row>
    <row r="76" spans="1:5" x14ac:dyDescent="0.25">
      <c r="A76" t="s">
        <v>143</v>
      </c>
      <c r="B76" t="s">
        <v>730</v>
      </c>
      <c r="C76" t="s">
        <v>731</v>
      </c>
      <c r="D76" t="s">
        <v>597</v>
      </c>
      <c r="E76" s="1">
        <v>45055</v>
      </c>
    </row>
    <row r="77" spans="1:5" x14ac:dyDescent="0.25">
      <c r="A77" t="s">
        <v>278</v>
      </c>
      <c r="B77" t="s">
        <v>732</v>
      </c>
      <c r="C77" t="s">
        <v>733</v>
      </c>
      <c r="D77" t="s">
        <v>597</v>
      </c>
      <c r="E77" s="1">
        <v>44932</v>
      </c>
    </row>
    <row r="78" spans="1:5" x14ac:dyDescent="0.25">
      <c r="A78" t="s">
        <v>10</v>
      </c>
      <c r="B78" t="s">
        <v>734</v>
      </c>
      <c r="C78" t="s">
        <v>735</v>
      </c>
      <c r="D78" t="s">
        <v>575</v>
      </c>
      <c r="E78" s="1">
        <v>44985</v>
      </c>
    </row>
    <row r="79" spans="1:5" x14ac:dyDescent="0.25">
      <c r="A79" t="s">
        <v>363</v>
      </c>
      <c r="B79" t="s">
        <v>736</v>
      </c>
      <c r="C79" t="s">
        <v>737</v>
      </c>
      <c r="D79" t="s">
        <v>575</v>
      </c>
      <c r="E79" s="1">
        <v>45201</v>
      </c>
    </row>
    <row r="80" spans="1:5" x14ac:dyDescent="0.25">
      <c r="A80" t="s">
        <v>159</v>
      </c>
      <c r="B80" t="s">
        <v>738</v>
      </c>
      <c r="C80" t="s">
        <v>739</v>
      </c>
      <c r="D80" t="s">
        <v>590</v>
      </c>
      <c r="E80" s="1">
        <v>45255</v>
      </c>
    </row>
    <row r="81" spans="1:5" x14ac:dyDescent="0.25">
      <c r="A81" t="s">
        <v>51</v>
      </c>
      <c r="B81" t="s">
        <v>740</v>
      </c>
      <c r="C81" t="s">
        <v>741</v>
      </c>
      <c r="D81" t="s">
        <v>590</v>
      </c>
      <c r="E81" s="1">
        <v>44984</v>
      </c>
    </row>
    <row r="82" spans="1:5" x14ac:dyDescent="0.25">
      <c r="A82" t="s">
        <v>101</v>
      </c>
      <c r="B82" t="s">
        <v>742</v>
      </c>
      <c r="C82" t="s">
        <v>743</v>
      </c>
      <c r="D82" t="s">
        <v>590</v>
      </c>
      <c r="E82" s="1">
        <v>45149</v>
      </c>
    </row>
    <row r="83" spans="1:5" x14ac:dyDescent="0.25">
      <c r="A83" t="s">
        <v>83</v>
      </c>
      <c r="B83" t="s">
        <v>744</v>
      </c>
      <c r="C83" t="s">
        <v>745</v>
      </c>
      <c r="D83" t="s">
        <v>580</v>
      </c>
      <c r="E83" s="1">
        <v>45159</v>
      </c>
    </row>
    <row r="84" spans="1:5" x14ac:dyDescent="0.25">
      <c r="A84" t="s">
        <v>57</v>
      </c>
      <c r="B84" t="s">
        <v>746</v>
      </c>
      <c r="C84" t="s">
        <v>747</v>
      </c>
      <c r="D84" t="s">
        <v>580</v>
      </c>
      <c r="E84" s="1">
        <v>45061</v>
      </c>
    </row>
    <row r="85" spans="1:5" x14ac:dyDescent="0.25">
      <c r="A85" t="s">
        <v>131</v>
      </c>
      <c r="B85" t="s">
        <v>748</v>
      </c>
      <c r="C85" t="s">
        <v>749</v>
      </c>
      <c r="D85" t="s">
        <v>597</v>
      </c>
      <c r="E85" s="1">
        <v>45018</v>
      </c>
    </row>
    <row r="86" spans="1:5" x14ac:dyDescent="0.25">
      <c r="A86" t="s">
        <v>128</v>
      </c>
      <c r="B86" t="s">
        <v>750</v>
      </c>
      <c r="C86" t="s">
        <v>751</v>
      </c>
      <c r="D86" t="s">
        <v>597</v>
      </c>
      <c r="E86" s="1">
        <v>44981</v>
      </c>
    </row>
    <row r="87" spans="1:5" x14ac:dyDescent="0.25">
      <c r="A87" t="s">
        <v>107</v>
      </c>
      <c r="B87" t="s">
        <v>752</v>
      </c>
      <c r="C87" t="s">
        <v>753</v>
      </c>
      <c r="D87" t="s">
        <v>575</v>
      </c>
      <c r="E87" s="1">
        <v>45079</v>
      </c>
    </row>
    <row r="88" spans="1:5" x14ac:dyDescent="0.25">
      <c r="A88" t="s">
        <v>185</v>
      </c>
      <c r="B88" t="s">
        <v>754</v>
      </c>
      <c r="C88" t="s">
        <v>755</v>
      </c>
      <c r="D88" t="s">
        <v>575</v>
      </c>
      <c r="E88" s="1">
        <v>45186</v>
      </c>
    </row>
    <row r="89" spans="1:5" x14ac:dyDescent="0.25">
      <c r="A89" t="s">
        <v>182</v>
      </c>
      <c r="B89" t="s">
        <v>756</v>
      </c>
      <c r="C89" t="s">
        <v>757</v>
      </c>
      <c r="D89" t="s">
        <v>597</v>
      </c>
      <c r="E89" s="1">
        <v>45028</v>
      </c>
    </row>
    <row r="90" spans="1:5" x14ac:dyDescent="0.25">
      <c r="A90" t="s">
        <v>85</v>
      </c>
      <c r="B90" t="s">
        <v>758</v>
      </c>
      <c r="C90" t="s">
        <v>759</v>
      </c>
      <c r="D90" t="s">
        <v>580</v>
      </c>
      <c r="E90" s="1">
        <v>45118</v>
      </c>
    </row>
    <row r="91" spans="1:5" x14ac:dyDescent="0.25">
      <c r="A91" t="s">
        <v>451</v>
      </c>
      <c r="B91" t="s">
        <v>760</v>
      </c>
      <c r="C91" t="s">
        <v>761</v>
      </c>
      <c r="D91" t="s">
        <v>580</v>
      </c>
      <c r="E91" s="1">
        <v>45203</v>
      </c>
    </row>
    <row r="92" spans="1:5" x14ac:dyDescent="0.25">
      <c r="A92" t="s">
        <v>13</v>
      </c>
      <c r="B92" t="s">
        <v>762</v>
      </c>
      <c r="C92" t="s">
        <v>763</v>
      </c>
      <c r="D92" t="s">
        <v>597</v>
      </c>
      <c r="E92" s="1">
        <v>44927</v>
      </c>
    </row>
    <row r="93" spans="1:5" x14ac:dyDescent="0.25">
      <c r="A93" t="s">
        <v>91</v>
      </c>
      <c r="B93" t="s">
        <v>764</v>
      </c>
      <c r="C93" t="s">
        <v>765</v>
      </c>
      <c r="D93" t="s">
        <v>597</v>
      </c>
      <c r="E93" s="1">
        <v>45092</v>
      </c>
    </row>
    <row r="94" spans="1:5" x14ac:dyDescent="0.25">
      <c r="A94" t="s">
        <v>315</v>
      </c>
      <c r="B94" t="s">
        <v>766</v>
      </c>
      <c r="C94" t="s">
        <v>767</v>
      </c>
      <c r="D94" t="s">
        <v>590</v>
      </c>
      <c r="E94" s="1">
        <v>44936</v>
      </c>
    </row>
    <row r="95" spans="1:5" x14ac:dyDescent="0.25">
      <c r="A95" t="s">
        <v>188</v>
      </c>
      <c r="B95" t="s">
        <v>768</v>
      </c>
      <c r="C95" t="s">
        <v>769</v>
      </c>
      <c r="D95" t="s">
        <v>580</v>
      </c>
      <c r="E95" s="1">
        <v>45112</v>
      </c>
    </row>
    <row r="96" spans="1:5" x14ac:dyDescent="0.25">
      <c r="A96" t="s">
        <v>396</v>
      </c>
      <c r="B96" t="s">
        <v>770</v>
      </c>
      <c r="C96" t="s">
        <v>771</v>
      </c>
      <c r="D96" t="s">
        <v>590</v>
      </c>
      <c r="E96" s="1">
        <v>45049</v>
      </c>
    </row>
    <row r="97" spans="1:5" x14ac:dyDescent="0.25">
      <c r="A97" t="s">
        <v>120</v>
      </c>
      <c r="B97" t="s">
        <v>772</v>
      </c>
      <c r="C97" t="s">
        <v>773</v>
      </c>
      <c r="D97" t="s">
        <v>580</v>
      </c>
      <c r="E97" s="1">
        <v>45050</v>
      </c>
    </row>
    <row r="98" spans="1:5" x14ac:dyDescent="0.25">
      <c r="A98" t="s">
        <v>16</v>
      </c>
      <c r="B98" t="s">
        <v>774</v>
      </c>
      <c r="C98" t="s">
        <v>775</v>
      </c>
      <c r="D98" t="s">
        <v>597</v>
      </c>
      <c r="E98" s="1">
        <v>44967</v>
      </c>
    </row>
    <row r="99" spans="1:5" x14ac:dyDescent="0.25">
      <c r="A99" t="s">
        <v>80</v>
      </c>
      <c r="B99" t="s">
        <v>776</v>
      </c>
      <c r="C99" t="s">
        <v>777</v>
      </c>
      <c r="D99" t="s">
        <v>580</v>
      </c>
      <c r="E99" s="1">
        <v>45175</v>
      </c>
    </row>
    <row r="100" spans="1:5" x14ac:dyDescent="0.25">
      <c r="A100" t="s">
        <v>95</v>
      </c>
      <c r="B100" t="s">
        <v>778</v>
      </c>
      <c r="C100" t="s">
        <v>779</v>
      </c>
      <c r="D100" t="s">
        <v>580</v>
      </c>
      <c r="E100" s="1">
        <v>45199</v>
      </c>
    </row>
    <row r="101" spans="1:5" x14ac:dyDescent="0.25">
      <c r="A101" t="s">
        <v>105</v>
      </c>
      <c r="B101" t="s">
        <v>780</v>
      </c>
      <c r="C101" t="s">
        <v>781</v>
      </c>
      <c r="D101" t="s">
        <v>580</v>
      </c>
      <c r="E101" s="1">
        <v>44992</v>
      </c>
    </row>
    <row r="102" spans="1:5" x14ac:dyDescent="0.25">
      <c r="A102" t="s">
        <v>141</v>
      </c>
      <c r="B102" t="s">
        <v>782</v>
      </c>
      <c r="C102" t="s">
        <v>783</v>
      </c>
      <c r="D102" t="s">
        <v>575</v>
      </c>
      <c r="E102" s="1">
        <v>45170</v>
      </c>
    </row>
    <row r="103" spans="1:5" x14ac:dyDescent="0.25">
      <c r="A103" t="s">
        <v>62</v>
      </c>
      <c r="B103" t="s">
        <v>784</v>
      </c>
      <c r="C103" t="s">
        <v>785</v>
      </c>
      <c r="D103" t="s">
        <v>597</v>
      </c>
      <c r="E103" s="1">
        <v>45011</v>
      </c>
    </row>
    <row r="104" spans="1:5" x14ac:dyDescent="0.25">
      <c r="A104" t="s">
        <v>302</v>
      </c>
      <c r="B104" t="s">
        <v>786</v>
      </c>
      <c r="C104" t="s">
        <v>787</v>
      </c>
      <c r="D104" t="s">
        <v>590</v>
      </c>
      <c r="E104" s="1">
        <v>45197</v>
      </c>
    </row>
    <row r="105" spans="1:5" x14ac:dyDescent="0.25">
      <c r="A105" t="s">
        <v>67</v>
      </c>
      <c r="B105" t="s">
        <v>788</v>
      </c>
      <c r="C105" t="s">
        <v>789</v>
      </c>
      <c r="D105" t="s">
        <v>597</v>
      </c>
      <c r="E105" s="1">
        <v>45143</v>
      </c>
    </row>
    <row r="106" spans="1:5" x14ac:dyDescent="0.25">
      <c r="A106" t="s">
        <v>238</v>
      </c>
      <c r="B106" t="s">
        <v>790</v>
      </c>
      <c r="C106" t="s">
        <v>791</v>
      </c>
      <c r="D106" t="s">
        <v>580</v>
      </c>
      <c r="E106" s="1">
        <v>45203</v>
      </c>
    </row>
    <row r="107" spans="1:5" x14ac:dyDescent="0.25">
      <c r="A107" t="s">
        <v>222</v>
      </c>
      <c r="B107" t="s">
        <v>792</v>
      </c>
      <c r="C107" t="s">
        <v>793</v>
      </c>
      <c r="D107" t="s">
        <v>575</v>
      </c>
      <c r="E107" s="1">
        <v>45280</v>
      </c>
    </row>
    <row r="108" spans="1:5" x14ac:dyDescent="0.25">
      <c r="A108" t="s">
        <v>180</v>
      </c>
      <c r="B108" t="s">
        <v>794</v>
      </c>
      <c r="C108" t="s">
        <v>795</v>
      </c>
      <c r="D108" t="s">
        <v>580</v>
      </c>
      <c r="E108" s="1">
        <v>45292</v>
      </c>
    </row>
    <row r="109" spans="1:5" x14ac:dyDescent="0.25">
      <c r="A109" t="s">
        <v>436</v>
      </c>
      <c r="B109" t="s">
        <v>796</v>
      </c>
      <c r="C109" t="s">
        <v>797</v>
      </c>
      <c r="D109" t="s">
        <v>590</v>
      </c>
      <c r="E109" s="1">
        <v>45131</v>
      </c>
    </row>
    <row r="110" spans="1:5" x14ac:dyDescent="0.25">
      <c r="A110" t="s">
        <v>388</v>
      </c>
      <c r="B110" t="s">
        <v>798</v>
      </c>
      <c r="C110" t="s">
        <v>799</v>
      </c>
      <c r="D110" t="s">
        <v>575</v>
      </c>
      <c r="E110" s="1">
        <v>45259</v>
      </c>
    </row>
    <row r="111" spans="1:5" x14ac:dyDescent="0.25">
      <c r="A111" t="s">
        <v>37</v>
      </c>
      <c r="B111" t="s">
        <v>800</v>
      </c>
      <c r="C111" t="s">
        <v>801</v>
      </c>
      <c r="D111" t="s">
        <v>590</v>
      </c>
      <c r="E111" s="1">
        <v>45151</v>
      </c>
    </row>
    <row r="112" spans="1:5" x14ac:dyDescent="0.25">
      <c r="A112" t="s">
        <v>172</v>
      </c>
      <c r="B112" t="s">
        <v>802</v>
      </c>
      <c r="C112" t="s">
        <v>803</v>
      </c>
      <c r="D112" t="s">
        <v>597</v>
      </c>
      <c r="E112" s="1">
        <v>45158</v>
      </c>
    </row>
    <row r="113" spans="1:5" x14ac:dyDescent="0.25">
      <c r="A113" t="s">
        <v>297</v>
      </c>
      <c r="B113" t="s">
        <v>804</v>
      </c>
      <c r="C113" t="s">
        <v>805</v>
      </c>
      <c r="D113" t="s">
        <v>580</v>
      </c>
      <c r="E113" s="1">
        <v>45053</v>
      </c>
    </row>
    <row r="114" spans="1:5" x14ac:dyDescent="0.25">
      <c r="A114" t="s">
        <v>167</v>
      </c>
      <c r="B114" t="s">
        <v>806</v>
      </c>
      <c r="C114" t="s">
        <v>807</v>
      </c>
      <c r="D114" t="s">
        <v>580</v>
      </c>
      <c r="E114" s="1">
        <v>44959</v>
      </c>
    </row>
    <row r="115" spans="1:5" x14ac:dyDescent="0.25">
      <c r="A115" t="s">
        <v>247</v>
      </c>
      <c r="B115" t="s">
        <v>808</v>
      </c>
      <c r="C115" t="s">
        <v>809</v>
      </c>
      <c r="D115" t="s">
        <v>590</v>
      </c>
      <c r="E115" s="1">
        <v>44937</v>
      </c>
    </row>
    <row r="116" spans="1:5" x14ac:dyDescent="0.25">
      <c r="A116" t="s">
        <v>7</v>
      </c>
      <c r="B116" t="s">
        <v>810</v>
      </c>
      <c r="C116" t="s">
        <v>811</v>
      </c>
      <c r="D116" t="s">
        <v>597</v>
      </c>
      <c r="E116" s="1">
        <v>45210</v>
      </c>
    </row>
    <row r="117" spans="1:5" x14ac:dyDescent="0.25">
      <c r="A117" t="s">
        <v>116</v>
      </c>
      <c r="B117" t="s">
        <v>812</v>
      </c>
      <c r="C117" t="s">
        <v>813</v>
      </c>
      <c r="D117" t="s">
        <v>580</v>
      </c>
      <c r="E117" s="1">
        <v>45228</v>
      </c>
    </row>
    <row r="118" spans="1:5" x14ac:dyDescent="0.25">
      <c r="A118" t="s">
        <v>391</v>
      </c>
      <c r="B118" t="s">
        <v>814</v>
      </c>
      <c r="C118" t="s">
        <v>815</v>
      </c>
      <c r="D118" t="s">
        <v>580</v>
      </c>
      <c r="E118" s="1">
        <v>44930</v>
      </c>
    </row>
    <row r="119" spans="1:5" x14ac:dyDescent="0.25">
      <c r="A119" t="s">
        <v>318</v>
      </c>
      <c r="B119" t="s">
        <v>816</v>
      </c>
      <c r="C119" t="s">
        <v>817</v>
      </c>
      <c r="D119" t="s">
        <v>580</v>
      </c>
      <c r="E119" s="1">
        <v>45289</v>
      </c>
    </row>
    <row r="120" spans="1:5" x14ac:dyDescent="0.25">
      <c r="A120" t="s">
        <v>233</v>
      </c>
      <c r="B120" t="s">
        <v>818</v>
      </c>
      <c r="C120" t="s">
        <v>819</v>
      </c>
      <c r="D120" t="s">
        <v>575</v>
      </c>
      <c r="E120" s="1">
        <v>44957</v>
      </c>
    </row>
    <row r="121" spans="1:5" x14ac:dyDescent="0.25">
      <c r="A121" t="s">
        <v>299</v>
      </c>
      <c r="B121" t="s">
        <v>820</v>
      </c>
      <c r="C121" t="s">
        <v>821</v>
      </c>
      <c r="D121" t="s">
        <v>580</v>
      </c>
      <c r="E121" s="1">
        <v>44961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Products</vt:lpstr>
      <vt:lpstr>Customer_info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Solomon</dc:creator>
  <cp:lastModifiedBy>Anushiem Daniel</cp:lastModifiedBy>
  <dcterms:created xsi:type="dcterms:W3CDTF">2025-12-31T10:28:12Z</dcterms:created>
  <dcterms:modified xsi:type="dcterms:W3CDTF">2026-04-01T20:19:42Z</dcterms:modified>
</cp:coreProperties>
</file>